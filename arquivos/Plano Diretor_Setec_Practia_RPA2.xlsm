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ean\arquivos\Documentos\practia\Practia\arquivos\"/>
    </mc:Choice>
  </mc:AlternateContent>
  <xr:revisionPtr revIDLastSave="0" documentId="13_ncr:1_{5737E749-4AE0-44AB-843F-CF728287B19E}" xr6:coauthVersionLast="47" xr6:coauthVersionMax="47" xr10:uidLastSave="{00000000-0000-0000-0000-000000000000}"/>
  <bookViews>
    <workbookView xWindow="-108" yWindow="-108" windowWidth="23256" windowHeight="12576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configStatus" sheetId="17" state="hidden" r:id="rId6"/>
    <sheet name="Resumo" sheetId="14" state="hidden" r:id="rId7"/>
  </sheets>
  <functionGroups builtInGroupCount="19"/>
  <definedNames>
    <definedName name="_xlnm._FilterDatabase" localSheetId="3" hidden="1">'Relatório de Consultoria'!$B$5:$F$5</definedName>
    <definedName name="_xlnm.Print_Area" localSheetId="4">Agendamento!$A$1:$C$4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6" i="10"/>
  <c r="H7" i="10"/>
  <c r="H8" i="10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tc={AC410193-DCC3-42A7-9B5C-554544B4A280}</author>
  </authors>
  <commentList>
    <comment ref="A2" authorId="0" shapeId="0" xr:uid="{AC410193-DCC3-42A7-9B5C-554544B4A28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<sst xmlns="http://schemas.openxmlformats.org/spreadsheetml/2006/main" count="199" uniqueCount="134">
  <si>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</si>
  <si>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</si>
  <si>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</si>
  <si>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</si>
  <si>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</si>
  <si>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</si>
  <si>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</si>
  <si>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</si>
  <si>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</si>
  <si>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</si>
  <si>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</si>
  <si>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</si>
  <si>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</si>
  <si>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</si>
  <si>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</si>
  <si>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</si>
  <si>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</si>
  <si>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</si>
  <si>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</si>
  <si>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</si>
  <si>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</si>
  <si>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</si>
  <si>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</si>
  <si>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</si>
  <si>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</si>
  <si>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</si>
  <si>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</si>
  <si>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</si>
  <si>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</si>
  <si>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</si>
  <si>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</si>
  <si>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</si>
  <si>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</si>
  <si>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</si>
  <si>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</si>
  <si>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</si>
  <si>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</si>
  <si>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</si>
  <si>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</si>
  <si>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</si>
  <si>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</si>
  <si>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</si>
  <si>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</si>
  <si>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</si>
  <si>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</si>
  <si>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</si>
  <si>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</si>
  <si>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</si>
  <si>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</si>
  <si>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</si>
  <si>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</si>
  <si>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</si>
  <si>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</si>
  <si>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</si>
  <si>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</si>
  <si>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</si>
  <si>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</si>
  <si>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</si>
  <si>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</si>
  <si>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</si>
  <si>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</si>
  <si>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</si>
  <si>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</si>
  <si>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</si>
  <si>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</si>
  <si>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</si>
  <si>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</si>
  <si>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</si>
  <si>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</si>
  <si>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</si>
  <si>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</si>
  <si>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</si>
  <si>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</si>
  <si>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</si>
  <si>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</si>
  <si>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</si>
  <si>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</si>
  <si>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</si>
  <si>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</si>
  <si>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</si>
  <si>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</si>
  <si>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</si>
  <si>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</si>
  <si>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</si>
  <si>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</si>
  <si>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</si>
  <si>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</si>
  <si>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</si>
  <si>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</si>
  <si>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</si>
  <si>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</si>
  <si>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</si>
  <si>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</si>
  <si>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</si>
  <si>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</si>
  <si>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</si>
  <si>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</si>
  <si>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</si>
  <si>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</si>
  <si>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</si>
  <si>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</si>
  <si>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</si>
  <si>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</si>
  <si>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</si>
  <si>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</si>
  <si>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</si>
  <si>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</si>
  <si>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</si>
  <si>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</si>
  <si>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</si>
  <si>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</si>
  <si>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</si>
  <si>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</si>
  <si>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</si>
  <si>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</si>
  <si>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</si>
  <si>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</si>
  <si>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</si>
  <si>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</si>
  <si>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</si>
  <si>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</si>
  <si>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</si>
  <si>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</si>
  <si>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Remarcar</t>
  </si>
  <si>
    <t>4T</t>
  </si>
  <si>
    <t>4M</t>
  </si>
  <si>
    <t>Atividade</t>
  </si>
  <si>
    <t>0,176,240</t>
  </si>
  <si>
    <t>Gestão e ajuda Pontual</t>
  </si>
  <si>
    <t>C|11111|CS|CLARO BRASIL</t>
  </si>
  <si>
    <t>2022-09-27T09:00:00</t>
  </si>
  <si>
    <t>2022-09-27T18:00:00</t>
  </si>
  <si>
    <t>27-09-2022</t>
  </si>
  <si>
    <t>26-09-2022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</si>
</sst>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05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165" fontId="0" fillId="2" borderId="24" xfId="0" applyNumberForma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17" fontId="0" fillId="2" borderId="0" xfId="0" applyNumberFormat="1" applyFill="1" applyAlignment="1" applyProtection="1">
      <alignment horizontal="center" vertical="center"/>
      <protection locked="0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0" fontId="1" fillId="2" borderId="69" xfId="0" applyFont="1" applyFill="1" applyBorder="1" applyAlignment="1" applyProtection="1">
      <alignment horizontal="center" vertical="center"/>
      <protection locked="0"/>
    </xf>
    <xf numFmtId="0" fontId="0" fillId="2" borderId="71" xfId="0" applyFill="1" applyBorder="1" applyAlignment="1" applyProtection="1">
      <alignment horizontal="center" vertical="center"/>
      <protection locked="0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locked="0"/>
    </xf>
    <xf numFmtId="0" fontId="0" fillId="2" borderId="71" xfId="0" applyFill="1" applyBorder="1" applyAlignment="1" applyProtection="1">
      <alignment horizontal="center"/>
      <protection locked="0"/>
    </xf>
    <xf numFmtId="168" fontId="0" fillId="2" borderId="71" xfId="0" applyNumberFormat="1" applyFill="1" applyBorder="1" applyAlignment="1" applyProtection="1">
      <alignment horizontal="center"/>
      <protection locked="0"/>
    </xf>
    <xf numFmtId="49" fontId="1" fillId="2" borderId="71" xfId="0" applyNumberFormat="1" applyFont="1" applyFill="1" applyBorder="1" applyAlignment="1" applyProtection="1">
      <alignment horizontal="center"/>
      <protection locked="0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5" fillId="0" borderId="0" xfId="0" applyFont="1"/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6" fillId="0" borderId="1" xfId="0" applyFont="1" applyBorder="1" applyAlignment="1" applyProtection="1">
      <alignment horizontal="center" vertical="center"/>
      <protection locked="0"/>
    </xf>
    <xf numFmtId="3" fontId="0" fillId="2" borderId="0" xfId="0" applyNumberFormat="1" applyFill="1" applyProtection="1">
      <protection hidden="1"/>
    </xf>
    <xf numFmtId="0" fontId="0" fillId="2" borderId="72" xfId="0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0" fillId="2" borderId="3" xfId="0" applyFill="1" applyBorder="1" applyAlignment="1" applyProtection="1">
      <alignment horizontal="center"/>
      <protection locked="0"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10" fillId="26" borderId="3" xfId="0" applyFont="1" applyFill="1" applyBorder="1" applyAlignment="1" applyProtection="1">
      <alignment horizontal="left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765"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B0F0"/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327660</xdr:colOff>
          <xdr:row>10</xdr:row>
          <xdr:rowOff>182880</xdr:rowOff>
        </xdr:from>
        <xdr:to>
          <xdr:col>95</xdr:col>
          <xdr:colOff>220980</xdr:colOff>
          <xdr:row>13</xdr:row>
          <xdr:rowOff>236220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365760</xdr:colOff>
          <xdr:row>15</xdr:row>
          <xdr:rowOff>22860</xdr:rowOff>
        </xdr:from>
        <xdr:to>
          <xdr:col>95</xdr:col>
          <xdr:colOff>198120</xdr:colOff>
          <xdr:row>18</xdr:row>
          <xdr:rowOff>198120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396240</xdr:colOff>
          <xdr:row>19</xdr:row>
          <xdr:rowOff>213360</xdr:rowOff>
        </xdr:from>
        <xdr:to>
          <xdr:col>95</xdr:col>
          <xdr:colOff>213360</xdr:colOff>
          <xdr:row>22</xdr:row>
          <xdr:rowOff>144780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Remarcar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M4" totalsRowShown="0" headerRowDxfId="14" dataDxfId="13">
  <autoFilter ref="A1:M4" xr:uid="{7117A141-E4A0-4639-95A6-FA69B16FB534}"/>
  <tableColumns count="13">
    <tableColumn id="1" xr3:uid="{FBBB854A-5433-4827-9F82-8471FD9818B4}" name="Mês" dataDxfId="12"/>
    <tableColumn id="2" xr3:uid="{1C1B8F13-6F9D-45AE-B52F-F78C0D2F6010}" name="CONSULTOR" dataDxfId="11"/>
    <tableColumn id="3" xr3:uid="{89E1FD39-EFDB-4245-9CFD-5E621A6A03CB}" name="HORAS" dataDxfId="10"/>
    <tableColumn id="4" xr3:uid="{EE917D55-8296-4DF8-916C-3C6F2605B6E0}" name="Coluna1" dataDxfId="9"/>
    <tableColumn id="5" xr3:uid="{151D4713-B3C3-47D0-98A3-F6F391D00FF0}" name="TITULO REUNIAO" dataDxfId="8"/>
    <tableColumn id="6" xr3:uid="{A28B0ECC-5A29-4645-A874-72A3B516A56F}" name="DIA" dataDxfId="7"/>
    <tableColumn id="7" xr3:uid="{59C36A55-C74E-4F59-870F-22583A1BC879}" name="Hora inicio" dataDxfId="6"/>
    <tableColumn id="8" xr3:uid="{54650340-83A8-499A-B7D2-29B7D4D20415}" name="Hora fim" dataDxfId="5"/>
    <tableColumn id="9" xr3:uid="{702814EA-CF00-4086-A821-FB7F3CDEFE28}" name="DataInicio" dataDxfId="4"/>
    <tableColumn id="10" xr3:uid="{04241480-D2AB-4242-90F1-06922EBEC690}" name="DataFim" dataDxfId="3"/>
    <tableColumn id="11" xr3:uid="{A1F1D1B1-4108-42D1-AD21-AE661A7120E5}" name="confirmado" dataDxfId="2"/>
    <tableColumn id="12" xr3:uid="{E8CB5466-9610-47C2-8981-95E383C542E9}" name="Idconsultor" dataDxfId="1"/>
    <tableColumn id="13" xr3:uid="{24463C44-B62A-46D5-9332-C7B2F48F286E}" name="Atividad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22-09-28T15:24:51.41" personId="{B7F869E9-74DA-402B-898C-9DFF3F483745}" id="{AC410193-DCC3-42A7-9B5C-554544B4A280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trafacci.gilberto@gmail.com" TargetMode="External"/><Relationship Id="rId1" Type="http://schemas.openxmlformats.org/officeDocument/2006/relationships/hyperlink" Target="mailto:strafacci.gilberto@gmail.com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E26"/>
  <sheetViews>
    <sheetView zoomScale="110" zoomScaleNormal="110" workbookViewId="0">
      <selection activeCell="C18" sqref="C18"/>
    </sheetView>
  </sheetViews>
  <sheetFormatPr defaultRowHeight="13.2" x14ac:dyDescent="0.25"/>
  <cols>
    <col min="1" max="1" width="48.6640625" bestFit="1" customWidth="1"/>
    <col min="2" max="2" width="15.33203125" bestFit="1" customWidth="1"/>
    <col min="3" max="3" width="26.33203125" bestFit="1" customWidth="1"/>
  </cols>
  <sheetData>
    <row r="1" spans="1:3" x14ac:dyDescent="0.25">
      <c r="A1" t="s">
        <v>67</v>
      </c>
    </row>
    <row r="2" spans="1:3" x14ac:dyDescent="0.25">
      <c r="A2" t="s">
        <v>66</v>
      </c>
    </row>
    <row r="3" spans="1:3" x14ac:dyDescent="0.25">
      <c r="A3" s="198" t="s">
        <v>107</v>
      </c>
    </row>
    <row r="4" spans="1:3" x14ac:dyDescent="0.25">
      <c r="A4" s="228" t="s">
        <v>68</v>
      </c>
      <c r="B4" s="180" t="s">
        <v>63</v>
      </c>
      <c r="C4" s="180" t="s">
        <v>64</v>
      </c>
    </row>
    <row r="5" spans="1:3" x14ac:dyDescent="0.25">
      <c r="A5" s="228"/>
      <c r="B5" s="177" t="s">
        <v>47</v>
      </c>
      <c r="C5" s="177" t="s">
        <v>65</v>
      </c>
    </row>
    <row r="6" spans="1:3" x14ac:dyDescent="0.25">
      <c r="A6" s="228" t="s">
        <v>69</v>
      </c>
      <c r="B6" s="177" t="s">
        <v>70</v>
      </c>
      <c r="C6" s="177" t="s">
        <v>78</v>
      </c>
    </row>
    <row r="7" spans="1:3" x14ac:dyDescent="0.25">
      <c r="A7" s="228"/>
      <c r="B7" s="177" t="s">
        <v>71</v>
      </c>
      <c r="C7" s="177" t="s">
        <v>79</v>
      </c>
    </row>
    <row r="8" spans="1:3" x14ac:dyDescent="0.25">
      <c r="A8" s="228"/>
      <c r="B8" s="208" t="s">
        <v>72</v>
      </c>
      <c r="C8" s="180" t="s">
        <v>80</v>
      </c>
    </row>
    <row r="9" spans="1:3" x14ac:dyDescent="0.25">
      <c r="A9" s="228"/>
      <c r="B9" s="177" t="s">
        <v>73</v>
      </c>
      <c r="C9" s="177" t="s">
        <v>81</v>
      </c>
    </row>
    <row r="10" spans="1:3" x14ac:dyDescent="0.25">
      <c r="A10" s="228"/>
      <c r="B10" s="177" t="s">
        <v>74</v>
      </c>
      <c r="C10" s="177" t="s">
        <v>82</v>
      </c>
    </row>
    <row r="11" spans="1:3" x14ac:dyDescent="0.25">
      <c r="A11" s="228"/>
      <c r="B11" s="177" t="s">
        <v>75</v>
      </c>
      <c r="C11" s="177" t="s">
        <v>83</v>
      </c>
    </row>
    <row r="12" spans="1:3" x14ac:dyDescent="0.25">
      <c r="A12" s="228"/>
      <c r="B12" s="177" t="s">
        <v>77</v>
      </c>
      <c r="C12" s="177" t="s">
        <v>84</v>
      </c>
    </row>
    <row r="13" spans="1:3" x14ac:dyDescent="0.25">
      <c r="A13" s="228"/>
      <c r="B13" s="177" t="s">
        <v>76</v>
      </c>
      <c r="C13" s="177" t="s">
        <v>85</v>
      </c>
    </row>
    <row r="14" spans="1:3" x14ac:dyDescent="0.25">
      <c r="A14" s="193" t="s">
        <v>90</v>
      </c>
      <c r="B14" s="229">
        <f>'Plano Diretor'!B2</f>
        <v>11111</v>
      </c>
      <c r="C14" s="229"/>
    </row>
    <row r="15" spans="1:3" x14ac:dyDescent="0.25">
      <c r="A15" s="193" t="s">
        <v>90</v>
      </c>
      <c r="B15" s="229" t="str">
        <f>'Plano Diretor'!B4</f>
        <v>CLARO BRASIL</v>
      </c>
      <c r="C15" s="229"/>
    </row>
    <row r="17" spans="1:5" x14ac:dyDescent="0.25">
      <c r="A17" s="227" t="s">
        <v>91</v>
      </c>
      <c r="B17" s="227"/>
      <c r="C17" s="227"/>
    </row>
    <row r="18" spans="1:5" x14ac:dyDescent="0.25">
      <c r="A18" s="179" t="s">
        <v>92</v>
      </c>
      <c r="B18" s="181">
        <v>0.375</v>
      </c>
      <c r="C18" s="181">
        <v>0.75</v>
      </c>
      <c r="D18" t="s">
        <v>95</v>
      </c>
    </row>
    <row r="19" spans="1:5" x14ac:dyDescent="0.25">
      <c r="A19" s="179" t="s">
        <v>93</v>
      </c>
      <c r="B19" s="181">
        <v>0.33333333333333331</v>
      </c>
      <c r="C19" s="181">
        <v>0.5</v>
      </c>
    </row>
    <row r="20" spans="1:5" x14ac:dyDescent="0.25">
      <c r="A20" s="179" t="s">
        <v>94</v>
      </c>
      <c r="B20" s="181">
        <v>0.54166666666666663</v>
      </c>
      <c r="C20" s="181">
        <v>0.70833333333333337</v>
      </c>
    </row>
    <row r="22" spans="1:5" x14ac:dyDescent="0.25">
      <c r="A22" s="227" t="s">
        <v>106</v>
      </c>
      <c r="B22" s="227"/>
      <c r="C22" s="227"/>
    </row>
    <row r="23" spans="1:5" x14ac:dyDescent="0.25">
      <c r="A23" s="179" t="s">
        <v>44</v>
      </c>
      <c r="B23" s="194" t="s">
        <v>98</v>
      </c>
      <c r="C23" s="195">
        <v>1</v>
      </c>
      <c r="E23" s="195" t="s">
        <v>105</v>
      </c>
    </row>
    <row r="24" spans="1:5" x14ac:dyDescent="0.25">
      <c r="A24" s="179" t="s">
        <v>99</v>
      </c>
      <c r="B24" s="194" t="s">
        <v>102</v>
      </c>
      <c r="C24" s="195">
        <v>2</v>
      </c>
    </row>
    <row r="25" spans="1:5" x14ac:dyDescent="0.25">
      <c r="A25" s="196" t="s">
        <v>100</v>
      </c>
      <c r="B25" s="194" t="s">
        <v>103</v>
      </c>
      <c r="C25" s="195">
        <v>3</v>
      </c>
    </row>
    <row r="26" spans="1:5" x14ac:dyDescent="0.25">
      <c r="A26" s="196" t="s">
        <v>101</v>
      </c>
      <c r="B26" s="194" t="s">
        <v>104</v>
      </c>
      <c r="C26" s="195">
        <v>4</v>
      </c>
    </row>
  </sheetData>
  <mergeCells count="6">
    <mergeCell ref="A22:C22"/>
    <mergeCell ref="A4:A5"/>
    <mergeCell ref="A6:A13"/>
    <mergeCell ref="B14:C14"/>
    <mergeCell ref="B15:C15"/>
    <mergeCell ref="A17:C17"/>
  </mergeCells>
  <hyperlinks>
    <hyperlink ref="C23" r:id="rId1" display="strafacci.gilberto@gmail.com" xr:uid="{7A38B125-56A7-4749-9F1C-8B6A183A670C}"/>
    <hyperlink ref="E23" r:id="rId2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L9" activePane="bottomRight" state="frozen"/>
      <selection pane="topRight" activeCell="L1" sqref="L1"/>
      <selection pane="bottomLeft" activeCell="A9" sqref="A9"/>
      <selection pane="bottomRight" activeCell="C37" sqref="C37"/>
    </sheetView>
  </sheetViews>
  <sheetFormatPr defaultColWidth="11.44140625" defaultRowHeight="13.2" x14ac:dyDescent="0.25"/>
  <cols>
    <col min="1" max="1" width="1.44140625" style="15" customWidth="1"/>
    <col min="2" max="2" width="52.109375" style="15" bestFit="1" customWidth="1"/>
    <col min="3" max="3" width="17.44140625" style="15" bestFit="1" customWidth="1"/>
    <col min="4" max="55" width="4.44140625" style="15" customWidth="1"/>
    <col min="56" max="56" width="1.44140625" style="15" customWidth="1"/>
    <col min="57" max="58" width="11.44140625" style="15" customWidth="1"/>
    <col min="59" max="16384" width="11.44140625" style="15"/>
  </cols>
  <sheetData>
    <row r="1" spans="1:57" ht="9.9" customHeight="1" thickBot="1" x14ac:dyDescent="0.3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3">
      <c r="A2" s="16"/>
      <c r="B2" s="172">
        <v>11111</v>
      </c>
      <c r="C2" s="267" t="s">
        <v>86</v>
      </c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3" t="s">
        <v>29</v>
      </c>
      <c r="AP2" s="263"/>
      <c r="AQ2" s="263"/>
      <c r="AR2" s="263"/>
      <c r="AS2" s="263"/>
      <c r="AT2" s="264"/>
      <c r="AU2" s="260">
        <v>44832</v>
      </c>
      <c r="AV2" s="261"/>
      <c r="AW2" s="261"/>
      <c r="AX2" s="261"/>
      <c r="AY2" s="261"/>
      <c r="AZ2" s="261"/>
      <c r="BA2" s="261"/>
      <c r="BB2" s="261"/>
      <c r="BC2" s="262"/>
      <c r="BD2" s="17"/>
    </row>
    <row r="3" spans="1:57" ht="12" customHeight="1" thickBot="1" x14ac:dyDescent="0.3">
      <c r="A3" s="16"/>
      <c r="B3" s="173" t="s">
        <v>72</v>
      </c>
      <c r="C3" s="269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0"/>
      <c r="O3" s="270"/>
      <c r="P3" s="270"/>
      <c r="Q3" s="270"/>
      <c r="R3" s="270"/>
      <c r="S3" s="270"/>
      <c r="T3" s="270"/>
      <c r="U3" s="270"/>
      <c r="V3" s="270"/>
      <c r="W3" s="270"/>
      <c r="X3" s="270"/>
      <c r="Y3" s="270"/>
      <c r="Z3" s="270"/>
      <c r="AA3" s="270"/>
      <c r="AB3" s="270"/>
      <c r="AC3" s="270"/>
      <c r="AD3" s="270"/>
      <c r="AE3" s="270"/>
      <c r="AF3" s="270"/>
      <c r="AG3" s="270"/>
      <c r="AH3" s="270"/>
      <c r="AI3" s="270"/>
      <c r="AJ3" s="270"/>
      <c r="AK3" s="270"/>
      <c r="AL3" s="270"/>
      <c r="AM3" s="270"/>
      <c r="AN3" s="270"/>
      <c r="AO3" s="131"/>
      <c r="AP3" s="131"/>
      <c r="AQ3" s="131"/>
      <c r="AR3" s="131"/>
      <c r="AS3" s="131"/>
      <c r="AT3" s="131"/>
      <c r="AV3" s="131"/>
      <c r="AW3" s="131"/>
      <c r="AX3" s="131"/>
      <c r="BC3" s="17"/>
      <c r="BD3" s="17"/>
    </row>
    <row r="4" spans="1:57" ht="25.5" customHeight="1" thickBot="1" x14ac:dyDescent="0.3">
      <c r="A4" s="16"/>
      <c r="B4" s="174" t="s">
        <v>89</v>
      </c>
      <c r="C4" s="175" t="s">
        <v>87</v>
      </c>
      <c r="D4" s="178"/>
      <c r="E4" s="178"/>
      <c r="F4" s="178"/>
      <c r="G4" s="178"/>
      <c r="H4" s="178"/>
      <c r="I4" s="239" t="s">
        <v>88</v>
      </c>
      <c r="J4" s="239"/>
      <c r="K4" s="239"/>
      <c r="L4" s="239"/>
      <c r="M4" s="239"/>
      <c r="N4" s="239"/>
      <c r="O4" s="239"/>
      <c r="P4" s="239"/>
      <c r="Q4" s="239"/>
      <c r="R4" s="239"/>
      <c r="S4" s="239"/>
      <c r="T4" s="239"/>
      <c r="U4" s="239"/>
      <c r="V4" s="239"/>
      <c r="W4" s="239"/>
      <c r="X4" s="239"/>
      <c r="Y4" s="239"/>
      <c r="Z4" s="178"/>
      <c r="AA4" s="178"/>
      <c r="AB4" s="178"/>
      <c r="AC4" s="178"/>
      <c r="AD4" s="178"/>
      <c r="AE4" s="178"/>
      <c r="AF4" s="178"/>
      <c r="AG4" s="178"/>
      <c r="AH4" s="178"/>
      <c r="AI4" s="178"/>
      <c r="AJ4" s="178"/>
      <c r="AK4" s="178"/>
      <c r="AL4" s="178"/>
      <c r="AM4" s="178"/>
      <c r="AN4" s="178"/>
      <c r="AO4" s="265" t="s">
        <v>37</v>
      </c>
      <c r="AP4" s="265"/>
      <c r="AQ4" s="265"/>
      <c r="AR4" s="265"/>
      <c r="AS4" s="265"/>
      <c r="AT4" s="266"/>
      <c r="AU4" s="231">
        <v>44832</v>
      </c>
      <c r="AV4" s="232"/>
      <c r="AW4" s="232"/>
      <c r="AX4" s="232"/>
      <c r="AY4" s="232"/>
      <c r="AZ4" s="232"/>
      <c r="BA4" s="232"/>
      <c r="BB4" s="232"/>
      <c r="BC4" s="233"/>
      <c r="BD4" s="17"/>
    </row>
    <row r="5" spans="1:57" ht="9.9" customHeight="1" thickBot="1" x14ac:dyDescent="0.3">
      <c r="A5" s="16"/>
      <c r="BD5" s="17"/>
    </row>
    <row r="6" spans="1:57" ht="20.25" hidden="1" customHeight="1" thickBot="1" x14ac:dyDescent="0.3">
      <c r="A6" s="16"/>
      <c r="C6" s="24"/>
      <c r="D6" s="230">
        <v>9</v>
      </c>
      <c r="E6" s="230"/>
      <c r="F6" s="230"/>
      <c r="G6" s="230"/>
      <c r="H6" s="230">
        <f>IF(D6=12,1,D6+1)</f>
        <v>10</v>
      </c>
      <c r="I6" s="230"/>
      <c r="J6" s="230"/>
      <c r="K6" s="230"/>
      <c r="L6" s="230">
        <f>IF(H6=12,1,H6+1)</f>
        <v>11</v>
      </c>
      <c r="M6" s="230"/>
      <c r="N6" s="230"/>
      <c r="O6" s="230"/>
      <c r="P6" s="230">
        <f>IF(L6=12,1,L6+1)</f>
        <v>12</v>
      </c>
      <c r="Q6" s="230"/>
      <c r="R6" s="230"/>
      <c r="S6" s="230"/>
      <c r="T6" s="230">
        <f>IF(P6=12,1,P6+1)</f>
        <v>1</v>
      </c>
      <c r="U6" s="230"/>
      <c r="V6" s="230"/>
      <c r="W6" s="230"/>
      <c r="X6" s="230">
        <f>IF(T6=12,1,T6+1)</f>
        <v>2</v>
      </c>
      <c r="Y6" s="230"/>
      <c r="Z6" s="230"/>
      <c r="AA6" s="230"/>
      <c r="AB6" s="230">
        <f>IF(X6=12,1,X6+1)</f>
        <v>3</v>
      </c>
      <c r="AC6" s="230"/>
      <c r="AD6" s="230"/>
      <c r="AE6" s="230"/>
      <c r="AF6" s="230">
        <f>IF(AB6=12,1,AB6+1)</f>
        <v>4</v>
      </c>
      <c r="AG6" s="230"/>
      <c r="AH6" s="230"/>
      <c r="AI6" s="230"/>
      <c r="AJ6" s="230">
        <f>IF(AF6=12,1,AF6+1)</f>
        <v>5</v>
      </c>
      <c r="AK6" s="230"/>
      <c r="AL6" s="230"/>
      <c r="AM6" s="230"/>
      <c r="AN6" s="230">
        <f>IF(AJ6=12,1,AJ6+1)</f>
        <v>6</v>
      </c>
      <c r="AO6" s="230"/>
      <c r="AP6" s="230"/>
      <c r="AQ6" s="230"/>
      <c r="AR6" s="230">
        <f>IF(AN6=12,1,AN6+1)</f>
        <v>7</v>
      </c>
      <c r="AS6" s="230"/>
      <c r="AT6" s="230"/>
      <c r="AU6" s="230"/>
      <c r="AV6" s="230">
        <f>IF(AR6=12,1,AR6+1)</f>
        <v>8</v>
      </c>
      <c r="AW6" s="230"/>
      <c r="AX6" s="230"/>
      <c r="AY6" s="230"/>
      <c r="AZ6" s="230">
        <f>IF(AR6=12,1,AR6+1)</f>
        <v>8</v>
      </c>
      <c r="BA6" s="230"/>
      <c r="BB6" s="230"/>
      <c r="BC6" s="230"/>
      <c r="BD6" s="17"/>
    </row>
    <row r="7" spans="1:57" ht="21" customHeight="1" x14ac:dyDescent="0.25">
      <c r="A7" s="16"/>
      <c r="B7" s="272" t="s">
        <v>1</v>
      </c>
      <c r="C7" s="278" t="s">
        <v>26</v>
      </c>
      <c r="D7" s="234">
        <v>1</v>
      </c>
      <c r="E7" s="235"/>
      <c r="F7" s="235"/>
      <c r="G7" s="236"/>
      <c r="H7" s="234" t="str">
        <f>VLOOKUP(H6,$E$40:$F$51,2,FALSE)</f>
        <v>Outubro</v>
      </c>
      <c r="I7" s="235"/>
      <c r="J7" s="235"/>
      <c r="K7" s="236"/>
      <c r="L7" s="234" t="str">
        <f>VLOOKUP(L6,$E$40:$F$51,2,FALSE)</f>
        <v>Novembro</v>
      </c>
      <c r="M7" s="235"/>
      <c r="N7" s="235"/>
      <c r="O7" s="236"/>
      <c r="P7" s="234" t="str">
        <f>VLOOKUP(P6,$E$40:$F$51,2,FALSE)</f>
        <v>Dezembro</v>
      </c>
      <c r="Q7" s="235"/>
      <c r="R7" s="235"/>
      <c r="S7" s="236"/>
      <c r="T7" s="234" t="str">
        <f>VLOOKUP(T6,$E$40:$F$51,2,FALSE)</f>
        <v>Janeiro</v>
      </c>
      <c r="U7" s="235"/>
      <c r="V7" s="235"/>
      <c r="W7" s="236"/>
      <c r="X7" s="234" t="str">
        <f>VLOOKUP(X6,$E$40:$F$51,2,FALSE)</f>
        <v>Fevereiro</v>
      </c>
      <c r="Y7" s="235"/>
      <c r="Z7" s="235"/>
      <c r="AA7" s="236"/>
      <c r="AB7" s="234" t="str">
        <f>VLOOKUP(AB6,$E$40:$F$51,2,FALSE)</f>
        <v>Março</v>
      </c>
      <c r="AC7" s="235"/>
      <c r="AD7" s="235"/>
      <c r="AE7" s="236"/>
      <c r="AF7" s="234" t="str">
        <f>VLOOKUP(AF6,$E$40:$F$51,2,FALSE)</f>
        <v>Abril</v>
      </c>
      <c r="AG7" s="235"/>
      <c r="AH7" s="235"/>
      <c r="AI7" s="236"/>
      <c r="AJ7" s="255" t="str">
        <f>VLOOKUP(AJ6,$E$40:$F$51,2,FALSE)</f>
        <v>Maio</v>
      </c>
      <c r="AK7" s="235"/>
      <c r="AL7" s="235"/>
      <c r="AM7" s="256"/>
      <c r="AN7" s="234" t="str">
        <f>VLOOKUP(AN6,$E$40:$F$51,2,FALSE)</f>
        <v>Junho</v>
      </c>
      <c r="AO7" s="235"/>
      <c r="AP7" s="235"/>
      <c r="AQ7" s="236"/>
      <c r="AR7" s="234" t="str">
        <f>VLOOKUP(AR6,$E$40:$F$51,2,FALSE)</f>
        <v>Julho</v>
      </c>
      <c r="AS7" s="235"/>
      <c r="AT7" s="235"/>
      <c r="AU7" s="236"/>
      <c r="AV7" s="271" t="s">
        <v>10</v>
      </c>
      <c r="AW7" s="235"/>
      <c r="AX7" s="235"/>
      <c r="AY7" s="236"/>
      <c r="AZ7" s="254" t="s">
        <v>14</v>
      </c>
      <c r="BA7" s="235"/>
      <c r="BB7" s="235"/>
      <c r="BC7" s="236"/>
      <c r="BD7" s="18"/>
    </row>
    <row r="8" spans="1:57" ht="16.5" customHeight="1" thickBot="1" x14ac:dyDescent="0.3">
      <c r="A8" s="16"/>
      <c r="B8" s="273"/>
      <c r="C8" s="279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6">
        <v>1</v>
      </c>
      <c r="AK8" s="100">
        <v>2</v>
      </c>
      <c r="AL8" s="100">
        <v>3</v>
      </c>
      <c r="AM8" s="117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5">
      <c r="A9" s="74"/>
      <c r="B9" s="132" t="s">
        <v>54</v>
      </c>
      <c r="C9" s="134" t="s">
        <v>62</v>
      </c>
      <c r="D9" s="182"/>
      <c r="E9" s="183"/>
      <c r="F9" s="183"/>
      <c r="G9" s="184"/>
      <c r="H9" s="118"/>
      <c r="I9" s="119"/>
      <c r="J9" s="119"/>
      <c r="K9" s="120"/>
      <c r="L9" s="118"/>
      <c r="M9" s="119"/>
      <c r="N9" s="119"/>
      <c r="O9" s="120"/>
      <c r="P9" s="118"/>
      <c r="Q9" s="119"/>
      <c r="R9" s="119"/>
      <c r="S9" s="120"/>
      <c r="T9" s="118"/>
      <c r="U9" s="119"/>
      <c r="V9" s="119"/>
      <c r="W9" s="120"/>
      <c r="X9" s="118"/>
      <c r="Y9" s="119"/>
      <c r="Z9" s="119"/>
      <c r="AA9" s="120"/>
      <c r="AB9" s="118"/>
      <c r="AC9" s="119"/>
      <c r="AD9" s="119"/>
      <c r="AE9" s="120"/>
      <c r="AF9" s="118"/>
      <c r="AG9" s="119"/>
      <c r="AH9" s="119"/>
      <c r="AI9" s="120"/>
      <c r="AJ9" s="118"/>
      <c r="AK9" s="119"/>
      <c r="AL9" s="119"/>
      <c r="AM9" s="120"/>
      <c r="AN9" s="118"/>
      <c r="AO9" s="119"/>
      <c r="AP9" s="119"/>
      <c r="AQ9" s="120"/>
      <c r="AR9" s="118"/>
      <c r="AS9" s="119"/>
      <c r="AT9" s="119"/>
      <c r="AU9" s="120"/>
      <c r="AV9" s="118"/>
      <c r="AW9" s="119"/>
      <c r="AX9" s="119"/>
      <c r="AY9" s="120"/>
      <c r="AZ9" s="118"/>
      <c r="BA9" s="119"/>
      <c r="BB9" s="119"/>
      <c r="BC9" s="120"/>
      <c r="BD9" s="94"/>
      <c r="BE9" s="90"/>
    </row>
    <row r="10" spans="1:57" s="71" customFormat="1" ht="15" customHeight="1" x14ac:dyDescent="0.25">
      <c r="A10" s="74"/>
      <c r="B10" s="133" t="s">
        <v>96</v>
      </c>
      <c r="C10" s="105" t="s">
        <v>62</v>
      </c>
      <c r="D10" s="102"/>
      <c r="E10" s="114"/>
      <c r="F10" s="114"/>
      <c r="G10" s="115"/>
      <c r="H10" s="185"/>
      <c r="I10" s="186"/>
      <c r="J10" s="186"/>
      <c r="K10" s="187"/>
      <c r="L10" s="185"/>
      <c r="M10" s="186"/>
      <c r="N10" s="186"/>
      <c r="O10" s="187"/>
      <c r="P10" s="185"/>
      <c r="Q10" s="186"/>
      <c r="R10" s="186"/>
      <c r="S10" s="187"/>
      <c r="T10" s="185"/>
      <c r="U10" s="186"/>
      <c r="V10" s="186"/>
      <c r="W10" s="187"/>
      <c r="X10" s="185"/>
      <c r="Y10" s="186"/>
      <c r="Z10" s="186"/>
      <c r="AA10" s="187"/>
      <c r="AB10" s="185"/>
      <c r="AC10" s="186"/>
      <c r="AD10" s="186"/>
      <c r="AE10" s="187"/>
      <c r="AF10" s="102"/>
      <c r="AG10" s="114"/>
      <c r="AH10" s="114"/>
      <c r="AI10" s="115"/>
      <c r="AJ10" s="102"/>
      <c r="AK10" s="114"/>
      <c r="AL10" s="114"/>
      <c r="AM10" s="115"/>
      <c r="AN10" s="102"/>
      <c r="AO10" s="114"/>
      <c r="AP10" s="114"/>
      <c r="AQ10" s="115"/>
      <c r="AR10" s="102"/>
      <c r="AS10" s="114"/>
      <c r="AT10" s="114"/>
      <c r="AU10" s="115"/>
      <c r="AV10" s="102"/>
      <c r="AW10" s="114"/>
      <c r="AX10" s="114"/>
      <c r="AY10" s="115"/>
      <c r="AZ10" s="102"/>
      <c r="BA10" s="114"/>
      <c r="BB10" s="114"/>
      <c r="BC10" s="115"/>
      <c r="BD10" s="94"/>
      <c r="BE10" s="90"/>
    </row>
    <row r="11" spans="1:57" s="71" customFormat="1" ht="15" customHeight="1" x14ac:dyDescent="0.25">
      <c r="A11" s="74"/>
      <c r="B11" s="133" t="s">
        <v>97</v>
      </c>
      <c r="C11" s="105" t="s">
        <v>62</v>
      </c>
      <c r="D11" s="102"/>
      <c r="E11" s="114"/>
      <c r="F11" s="114"/>
      <c r="G11" s="115"/>
      <c r="H11" s="102"/>
      <c r="I11" s="114"/>
      <c r="J11" s="114"/>
      <c r="K11" s="115"/>
      <c r="L11" s="102"/>
      <c r="M11" s="114"/>
      <c r="N11" s="114"/>
      <c r="O11" s="115"/>
      <c r="P11" s="102"/>
      <c r="Q11" s="114"/>
      <c r="R11" s="114"/>
      <c r="S11" s="115"/>
      <c r="T11" s="102"/>
      <c r="U11" s="114"/>
      <c r="V11" s="114"/>
      <c r="W11" s="115"/>
      <c r="X11" s="102"/>
      <c r="Y11" s="114"/>
      <c r="Z11" s="114"/>
      <c r="AA11" s="115"/>
      <c r="AB11" s="102"/>
      <c r="AC11" s="114"/>
      <c r="AD11" s="114"/>
      <c r="AE11" s="115"/>
      <c r="AF11" s="185"/>
      <c r="AG11" s="186"/>
      <c r="AH11" s="186"/>
      <c r="AI11" s="187"/>
      <c r="AJ11" s="185"/>
      <c r="AK11" s="186"/>
      <c r="AL11" s="186"/>
      <c r="AM11" s="187"/>
      <c r="AN11" s="185"/>
      <c r="AO11" s="186"/>
      <c r="AP11" s="186"/>
      <c r="AQ11" s="187"/>
      <c r="AR11" s="185"/>
      <c r="AS11" s="186"/>
      <c r="AT11" s="186"/>
      <c r="AU11" s="187"/>
      <c r="AV11" s="185"/>
      <c r="AW11" s="186"/>
      <c r="AX11" s="186"/>
      <c r="AY11" s="187"/>
      <c r="AZ11" s="185"/>
      <c r="BA11" s="186"/>
      <c r="BB11" s="186"/>
      <c r="BC11" s="187"/>
      <c r="BD11" s="94"/>
      <c r="BE11" s="90"/>
    </row>
    <row r="12" spans="1:57" s="71" customFormat="1" ht="15" customHeight="1" x14ac:dyDescent="0.25">
      <c r="A12" s="74"/>
      <c r="B12" s="133"/>
      <c r="C12" s="105"/>
      <c r="D12" s="102"/>
      <c r="E12" s="114"/>
      <c r="F12" s="114"/>
      <c r="G12" s="115"/>
      <c r="H12" s="102"/>
      <c r="I12" s="114"/>
      <c r="J12" s="114"/>
      <c r="K12" s="115"/>
      <c r="L12" s="102"/>
      <c r="M12" s="114"/>
      <c r="N12" s="114"/>
      <c r="O12" s="115"/>
      <c r="P12" s="102"/>
      <c r="Q12" s="114"/>
      <c r="R12" s="114"/>
      <c r="S12" s="115"/>
      <c r="T12" s="102"/>
      <c r="U12" s="114"/>
      <c r="V12" s="114"/>
      <c r="W12" s="115"/>
      <c r="X12" s="102"/>
      <c r="Y12" s="114"/>
      <c r="Z12" s="114"/>
      <c r="AA12" s="115"/>
      <c r="AB12" s="102"/>
      <c r="AC12" s="114"/>
      <c r="AD12" s="114"/>
      <c r="AE12" s="115"/>
      <c r="AF12" s="102"/>
      <c r="AG12" s="114"/>
      <c r="AH12" s="114"/>
      <c r="AI12" s="115"/>
      <c r="AJ12" s="102"/>
      <c r="AK12" s="114"/>
      <c r="AL12" s="114"/>
      <c r="AM12" s="115"/>
      <c r="AN12" s="102"/>
      <c r="AO12" s="114"/>
      <c r="AP12" s="114"/>
      <c r="AQ12" s="115"/>
      <c r="AR12" s="102"/>
      <c r="AS12" s="114"/>
      <c r="AT12" s="114"/>
      <c r="AU12" s="115"/>
      <c r="AV12" s="102"/>
      <c r="AW12" s="114"/>
      <c r="AX12" s="114"/>
      <c r="AY12" s="115"/>
      <c r="AZ12" s="102"/>
      <c r="BA12" s="114"/>
      <c r="BB12" s="114"/>
      <c r="BC12" s="115"/>
      <c r="BD12" s="94"/>
      <c r="BE12" s="90"/>
    </row>
    <row r="13" spans="1:57" s="71" customFormat="1" ht="15" customHeight="1" x14ac:dyDescent="0.25">
      <c r="A13" s="74"/>
      <c r="B13" s="133"/>
      <c r="C13" s="105"/>
      <c r="D13" s="102"/>
      <c r="E13" s="114"/>
      <c r="F13" s="114"/>
      <c r="G13" s="115"/>
      <c r="H13" s="102"/>
      <c r="I13" s="114"/>
      <c r="J13" s="114"/>
      <c r="K13" s="115"/>
      <c r="L13" s="102"/>
      <c r="M13" s="114"/>
      <c r="N13" s="114"/>
      <c r="O13" s="115"/>
      <c r="P13" s="102"/>
      <c r="Q13" s="114"/>
      <c r="R13" s="114"/>
      <c r="S13" s="115"/>
      <c r="T13" s="102"/>
      <c r="U13" s="114"/>
      <c r="V13" s="114"/>
      <c r="W13" s="115"/>
      <c r="X13" s="102"/>
      <c r="Y13" s="114"/>
      <c r="Z13" s="114"/>
      <c r="AA13" s="115"/>
      <c r="AB13" s="102"/>
      <c r="AC13" s="114"/>
      <c r="AD13" s="114"/>
      <c r="AE13" s="115"/>
      <c r="AF13" s="102"/>
      <c r="AG13" s="114"/>
      <c r="AH13" s="114"/>
      <c r="AI13" s="115"/>
      <c r="AJ13" s="102"/>
      <c r="AK13" s="114"/>
      <c r="AL13" s="114"/>
      <c r="AM13" s="115"/>
      <c r="AN13" s="102"/>
      <c r="AO13" s="114"/>
      <c r="AP13" s="114"/>
      <c r="AQ13" s="115"/>
      <c r="AR13" s="102"/>
      <c r="AS13" s="114"/>
      <c r="AT13" s="114"/>
      <c r="AU13" s="115"/>
      <c r="AV13" s="102"/>
      <c r="AW13" s="114"/>
      <c r="AX13" s="114"/>
      <c r="AY13" s="115"/>
      <c r="AZ13" s="102"/>
      <c r="BA13" s="114"/>
      <c r="BB13" s="114"/>
      <c r="BC13" s="115"/>
      <c r="BD13" s="94"/>
      <c r="BE13" s="90"/>
    </row>
    <row r="14" spans="1:57" s="71" customFormat="1" ht="15" customHeight="1" x14ac:dyDescent="0.25">
      <c r="A14" s="74"/>
      <c r="B14" s="133"/>
      <c r="C14" s="105"/>
      <c r="D14" s="102"/>
      <c r="E14" s="114"/>
      <c r="F14" s="114"/>
      <c r="G14" s="115"/>
      <c r="H14" s="102"/>
      <c r="I14" s="114"/>
      <c r="J14" s="114"/>
      <c r="K14" s="115"/>
      <c r="L14" s="102"/>
      <c r="M14" s="114"/>
      <c r="N14" s="114"/>
      <c r="O14" s="115"/>
      <c r="P14" s="102"/>
      <c r="Q14" s="114"/>
      <c r="R14" s="114"/>
      <c r="S14" s="115"/>
      <c r="T14" s="102"/>
      <c r="U14" s="114"/>
      <c r="V14" s="114"/>
      <c r="W14" s="115"/>
      <c r="X14" s="102"/>
      <c r="Y14" s="114"/>
      <c r="Z14" s="114"/>
      <c r="AA14" s="115"/>
      <c r="AB14" s="102"/>
      <c r="AC14" s="114"/>
      <c r="AD14" s="114"/>
      <c r="AE14" s="115"/>
      <c r="AF14" s="102"/>
      <c r="AG14" s="114"/>
      <c r="AH14" s="114"/>
      <c r="AI14" s="115"/>
      <c r="AJ14" s="102"/>
      <c r="AK14" s="114"/>
      <c r="AL14" s="114"/>
      <c r="AM14" s="115"/>
      <c r="AN14" s="102"/>
      <c r="AO14" s="114"/>
      <c r="AP14" s="114"/>
      <c r="AQ14" s="115"/>
      <c r="AR14" s="102"/>
      <c r="AS14" s="114"/>
      <c r="AT14" s="114"/>
      <c r="AU14" s="115"/>
      <c r="AV14" s="102"/>
      <c r="AW14" s="114"/>
      <c r="AX14" s="114"/>
      <c r="AY14" s="115"/>
      <c r="AZ14" s="102"/>
      <c r="BA14" s="114"/>
      <c r="BB14" s="114"/>
      <c r="BC14" s="115"/>
      <c r="BD14" s="94"/>
      <c r="BE14" s="90"/>
    </row>
    <row r="15" spans="1:57" s="71" customFormat="1" ht="15" customHeight="1" x14ac:dyDescent="0.25">
      <c r="A15" s="74"/>
      <c r="B15" s="133"/>
      <c r="C15" s="105"/>
      <c r="D15" s="102"/>
      <c r="E15" s="114"/>
      <c r="F15" s="114"/>
      <c r="G15" s="115"/>
      <c r="H15" s="102"/>
      <c r="I15" s="114"/>
      <c r="J15" s="114"/>
      <c r="K15" s="115"/>
      <c r="L15" s="102"/>
      <c r="M15" s="114"/>
      <c r="N15" s="114"/>
      <c r="O15" s="115"/>
      <c r="P15" s="102"/>
      <c r="Q15" s="114"/>
      <c r="R15" s="114"/>
      <c r="S15" s="115"/>
      <c r="T15" s="102"/>
      <c r="U15" s="114"/>
      <c r="V15" s="114"/>
      <c r="W15" s="115"/>
      <c r="X15" s="102"/>
      <c r="Y15" s="114"/>
      <c r="Z15" s="114"/>
      <c r="AA15" s="115"/>
      <c r="AB15" s="102"/>
      <c r="AC15" s="114"/>
      <c r="AD15" s="114"/>
      <c r="AE15" s="115"/>
      <c r="AF15" s="102"/>
      <c r="AG15" s="114"/>
      <c r="AH15" s="114"/>
      <c r="AI15" s="115"/>
      <c r="AJ15" s="102"/>
      <c r="AK15" s="114"/>
      <c r="AL15" s="114"/>
      <c r="AM15" s="115"/>
      <c r="AN15" s="102"/>
      <c r="AO15" s="114"/>
      <c r="AP15" s="114"/>
      <c r="AQ15" s="115"/>
      <c r="AR15" s="102"/>
      <c r="AS15" s="114"/>
      <c r="AT15" s="114"/>
      <c r="AU15" s="115"/>
      <c r="AV15" s="102"/>
      <c r="AW15" s="114"/>
      <c r="AX15" s="114"/>
      <c r="AY15" s="115"/>
      <c r="AZ15" s="102"/>
      <c r="BA15" s="114"/>
      <c r="BB15" s="114"/>
      <c r="BC15" s="115"/>
      <c r="BD15" s="75"/>
    </row>
    <row r="16" spans="1:57" s="71" customFormat="1" ht="15" customHeight="1" x14ac:dyDescent="0.25">
      <c r="A16" s="74"/>
      <c r="B16" s="91"/>
      <c r="C16" s="105"/>
      <c r="D16" s="102"/>
      <c r="E16" s="114"/>
      <c r="F16" s="114"/>
      <c r="G16" s="115"/>
      <c r="H16" s="102"/>
      <c r="I16" s="114"/>
      <c r="J16" s="114"/>
      <c r="K16" s="115"/>
      <c r="L16" s="102"/>
      <c r="M16" s="114"/>
      <c r="N16" s="114"/>
      <c r="O16" s="115"/>
      <c r="P16" s="102"/>
      <c r="Q16" s="114"/>
      <c r="R16" s="114"/>
      <c r="S16" s="115"/>
      <c r="T16" s="102"/>
      <c r="U16" s="114"/>
      <c r="V16" s="114"/>
      <c r="W16" s="115"/>
      <c r="X16" s="102"/>
      <c r="Y16" s="114"/>
      <c r="Z16" s="114"/>
      <c r="AA16" s="115"/>
      <c r="AB16" s="102"/>
      <c r="AC16" s="114"/>
      <c r="AD16" s="114"/>
      <c r="AE16" s="115"/>
      <c r="AF16" s="102"/>
      <c r="AG16" s="114"/>
      <c r="AH16" s="114"/>
      <c r="AI16" s="115"/>
      <c r="AJ16" s="102"/>
      <c r="AK16" s="114"/>
      <c r="AL16" s="114"/>
      <c r="AM16" s="115"/>
      <c r="AN16" s="102"/>
      <c r="AO16" s="114"/>
      <c r="AP16" s="114"/>
      <c r="AQ16" s="115"/>
      <c r="AR16" s="102"/>
      <c r="AS16" s="114"/>
      <c r="AT16" s="114"/>
      <c r="AU16" s="115"/>
      <c r="AV16" s="102"/>
      <c r="AW16" s="114"/>
      <c r="AX16" s="114"/>
      <c r="AY16" s="115"/>
      <c r="AZ16" s="102"/>
      <c r="BA16" s="114"/>
      <c r="BB16" s="114"/>
      <c r="BC16" s="115"/>
      <c r="BD16" s="75"/>
    </row>
    <row r="17" spans="1:56" s="71" customFormat="1" ht="15" customHeight="1" x14ac:dyDescent="0.25">
      <c r="A17" s="74"/>
      <c r="B17" s="133"/>
      <c r="C17" s="105"/>
      <c r="D17" s="102"/>
      <c r="E17" s="114"/>
      <c r="F17" s="114"/>
      <c r="G17" s="115"/>
      <c r="H17" s="102"/>
      <c r="I17" s="114"/>
      <c r="J17" s="114"/>
      <c r="K17" s="115"/>
      <c r="L17" s="102"/>
      <c r="M17" s="114"/>
      <c r="N17" s="114"/>
      <c r="O17" s="115"/>
      <c r="P17" s="102"/>
      <c r="Q17" s="114"/>
      <c r="R17" s="114"/>
      <c r="S17" s="115"/>
      <c r="T17" s="102"/>
      <c r="U17" s="114"/>
      <c r="V17" s="114"/>
      <c r="W17" s="115"/>
      <c r="X17" s="102"/>
      <c r="Y17" s="114"/>
      <c r="Z17" s="114"/>
      <c r="AA17" s="115"/>
      <c r="AB17" s="102"/>
      <c r="AC17" s="114"/>
      <c r="AD17" s="114"/>
      <c r="AE17" s="115"/>
      <c r="AF17" s="102"/>
      <c r="AG17" s="114"/>
      <c r="AH17" s="114"/>
      <c r="AI17" s="115"/>
      <c r="AJ17" s="102"/>
      <c r="AK17" s="114"/>
      <c r="AL17" s="114"/>
      <c r="AM17" s="115"/>
      <c r="AN17" s="102"/>
      <c r="AO17" s="114"/>
      <c r="AP17" s="114"/>
      <c r="AQ17" s="115"/>
      <c r="AR17" s="102"/>
      <c r="AS17" s="114"/>
      <c r="AT17" s="114"/>
      <c r="AU17" s="115"/>
      <c r="AV17" s="102"/>
      <c r="AW17" s="114"/>
      <c r="AX17" s="114"/>
      <c r="AY17" s="115"/>
      <c r="AZ17" s="102"/>
      <c r="BA17" s="114"/>
      <c r="BB17" s="114"/>
      <c r="BC17" s="115"/>
      <c r="BD17" s="75"/>
    </row>
    <row r="18" spans="1:56" s="71" customFormat="1" ht="15" customHeight="1" x14ac:dyDescent="0.25">
      <c r="A18" s="74"/>
      <c r="B18" s="91"/>
      <c r="C18" s="103"/>
      <c r="D18" s="102"/>
      <c r="E18" s="114"/>
      <c r="F18" s="114"/>
      <c r="G18" s="115"/>
      <c r="H18" s="102"/>
      <c r="I18" s="114"/>
      <c r="J18" s="114"/>
      <c r="K18" s="115"/>
      <c r="L18" s="102"/>
      <c r="M18" s="114"/>
      <c r="N18" s="114"/>
      <c r="O18" s="115"/>
      <c r="P18" s="102"/>
      <c r="Q18" s="114"/>
      <c r="R18" s="114"/>
      <c r="S18" s="115"/>
      <c r="T18" s="102"/>
      <c r="U18" s="114"/>
      <c r="V18" s="114"/>
      <c r="W18" s="115"/>
      <c r="X18" s="102"/>
      <c r="Y18" s="114"/>
      <c r="Z18" s="114"/>
      <c r="AA18" s="115"/>
      <c r="AB18" s="102"/>
      <c r="AC18" s="114"/>
      <c r="AD18" s="114"/>
      <c r="AE18" s="115"/>
      <c r="AF18" s="102"/>
      <c r="AG18" s="114"/>
      <c r="AH18" s="114"/>
      <c r="AI18" s="115"/>
      <c r="AJ18" s="102"/>
      <c r="AK18" s="114"/>
      <c r="AL18" s="114"/>
      <c r="AM18" s="115"/>
      <c r="AN18" s="102"/>
      <c r="AO18" s="114"/>
      <c r="AP18" s="114"/>
      <c r="AQ18" s="115"/>
      <c r="AR18" s="102"/>
      <c r="AS18" s="114"/>
      <c r="AT18" s="114"/>
      <c r="AU18" s="115"/>
      <c r="AV18" s="102"/>
      <c r="AW18" s="114"/>
      <c r="AX18" s="114"/>
      <c r="AY18" s="115"/>
      <c r="AZ18" s="102"/>
      <c r="BA18" s="114"/>
      <c r="BB18" s="114"/>
      <c r="BC18" s="115"/>
      <c r="BD18" s="75"/>
    </row>
    <row r="19" spans="1:56" s="71" customFormat="1" ht="15" customHeight="1" x14ac:dyDescent="0.25">
      <c r="A19" s="74"/>
      <c r="B19" s="91"/>
      <c r="C19" s="105"/>
      <c r="D19" s="102"/>
      <c r="E19" s="114"/>
      <c r="F19" s="114"/>
      <c r="G19" s="115"/>
      <c r="H19" s="102"/>
      <c r="I19" s="114"/>
      <c r="J19" s="114"/>
      <c r="K19" s="115"/>
      <c r="L19" s="102"/>
      <c r="M19" s="114"/>
      <c r="N19" s="114"/>
      <c r="O19" s="115"/>
      <c r="P19" s="102"/>
      <c r="Q19" s="114"/>
      <c r="R19" s="114"/>
      <c r="S19" s="115"/>
      <c r="T19" s="102"/>
      <c r="U19" s="114"/>
      <c r="V19" s="114"/>
      <c r="W19" s="115"/>
      <c r="X19" s="102"/>
      <c r="Y19" s="114"/>
      <c r="Z19" s="114"/>
      <c r="AA19" s="115"/>
      <c r="AB19" s="102"/>
      <c r="AC19" s="114"/>
      <c r="AD19" s="114"/>
      <c r="AE19" s="115"/>
      <c r="AF19" s="102"/>
      <c r="AG19" s="114"/>
      <c r="AH19" s="114"/>
      <c r="AI19" s="115"/>
      <c r="AJ19" s="102"/>
      <c r="AK19" s="114"/>
      <c r="AL19" s="114"/>
      <c r="AM19" s="115"/>
      <c r="AN19" s="102"/>
      <c r="AO19" s="114"/>
      <c r="AP19" s="114"/>
      <c r="AQ19" s="115"/>
      <c r="AR19" s="102"/>
      <c r="AS19" s="114"/>
      <c r="AT19" s="114"/>
      <c r="AU19" s="115"/>
      <c r="AV19" s="102"/>
      <c r="AW19" s="114"/>
      <c r="AX19" s="114"/>
      <c r="AY19" s="115"/>
      <c r="AZ19" s="102"/>
      <c r="BA19" s="114"/>
      <c r="BB19" s="114"/>
      <c r="BC19" s="115"/>
      <c r="BD19" s="75"/>
    </row>
    <row r="20" spans="1:56" s="71" customFormat="1" ht="15" customHeight="1" x14ac:dyDescent="0.25">
      <c r="A20" s="74"/>
      <c r="B20" s="91"/>
      <c r="C20" s="105"/>
      <c r="D20" s="102"/>
      <c r="E20" s="114"/>
      <c r="F20" s="114"/>
      <c r="G20" s="115"/>
      <c r="H20" s="102"/>
      <c r="I20" s="114"/>
      <c r="J20" s="114"/>
      <c r="K20" s="115"/>
      <c r="L20" s="102"/>
      <c r="M20" s="114"/>
      <c r="N20" s="114"/>
      <c r="O20" s="115"/>
      <c r="P20" s="102"/>
      <c r="Q20" s="114"/>
      <c r="R20" s="114"/>
      <c r="S20" s="115"/>
      <c r="T20" s="102"/>
      <c r="U20" s="114"/>
      <c r="V20" s="114"/>
      <c r="W20" s="115"/>
      <c r="X20" s="102"/>
      <c r="Y20" s="114"/>
      <c r="Z20" s="114"/>
      <c r="AA20" s="115"/>
      <c r="AB20" s="102"/>
      <c r="AC20" s="114"/>
      <c r="AD20" s="114"/>
      <c r="AE20" s="115"/>
      <c r="AF20" s="102"/>
      <c r="AG20" s="114"/>
      <c r="AH20" s="114"/>
      <c r="AI20" s="115"/>
      <c r="AJ20" s="102"/>
      <c r="AK20" s="114"/>
      <c r="AL20" s="114"/>
      <c r="AM20" s="115"/>
      <c r="AN20" s="102"/>
      <c r="AO20" s="114"/>
      <c r="AP20" s="114"/>
      <c r="AQ20" s="115"/>
      <c r="AR20" s="102"/>
      <c r="AS20" s="114"/>
      <c r="AT20" s="114"/>
      <c r="AU20" s="115"/>
      <c r="AV20" s="102"/>
      <c r="AW20" s="114"/>
      <c r="AX20" s="114"/>
      <c r="AY20" s="115"/>
      <c r="AZ20" s="102"/>
      <c r="BA20" s="114"/>
      <c r="BB20" s="114"/>
      <c r="BC20" s="115"/>
      <c r="BD20" s="75"/>
    </row>
    <row r="21" spans="1:56" s="71" customFormat="1" ht="15" customHeight="1" thickBot="1" x14ac:dyDescent="0.3">
      <c r="A21" s="74"/>
      <c r="B21" s="121"/>
      <c r="C21" s="122"/>
      <c r="D21" s="123"/>
      <c r="E21" s="124"/>
      <c r="F21" s="124"/>
      <c r="G21" s="125"/>
      <c r="H21" s="123"/>
      <c r="I21" s="124"/>
      <c r="J21" s="124"/>
      <c r="K21" s="125"/>
      <c r="L21" s="123"/>
      <c r="M21" s="124"/>
      <c r="N21" s="124"/>
      <c r="O21" s="125"/>
      <c r="P21" s="123"/>
      <c r="Q21" s="124"/>
      <c r="R21" s="124"/>
      <c r="S21" s="125"/>
      <c r="T21" s="123"/>
      <c r="U21" s="124"/>
      <c r="V21" s="124"/>
      <c r="W21" s="125"/>
      <c r="X21" s="123"/>
      <c r="Y21" s="124"/>
      <c r="Z21" s="124"/>
      <c r="AA21" s="125"/>
      <c r="AB21" s="123"/>
      <c r="AC21" s="124"/>
      <c r="AD21" s="124"/>
      <c r="AE21" s="125"/>
      <c r="AF21" s="123"/>
      <c r="AG21" s="124"/>
      <c r="AH21" s="124"/>
      <c r="AI21" s="125"/>
      <c r="AJ21" s="123"/>
      <c r="AK21" s="124"/>
      <c r="AL21" s="124"/>
      <c r="AM21" s="125"/>
      <c r="AN21" s="123"/>
      <c r="AO21" s="124"/>
      <c r="AP21" s="124"/>
      <c r="AQ21" s="125"/>
      <c r="AR21" s="123"/>
      <c r="AS21" s="124"/>
      <c r="AT21" s="124"/>
      <c r="AU21" s="125"/>
      <c r="AV21" s="123"/>
      <c r="AW21" s="124"/>
      <c r="AX21" s="124"/>
      <c r="AY21" s="125"/>
      <c r="AZ21" s="123"/>
      <c r="BA21" s="124"/>
      <c r="BB21" s="124"/>
      <c r="BC21" s="125"/>
      <c r="BD21" s="75"/>
    </row>
    <row r="22" spans="1:56" x14ac:dyDescent="0.25">
      <c r="A22" s="16"/>
      <c r="BD22" s="17"/>
    </row>
    <row r="23" spans="1:56" ht="13.8" thickBot="1" x14ac:dyDescent="0.3">
      <c r="A23" s="16"/>
      <c r="B23" s="4"/>
      <c r="C23" s="4"/>
      <c r="D23" s="257" t="s">
        <v>16</v>
      </c>
      <c r="E23" s="257"/>
      <c r="F23" s="257"/>
      <c r="G23" s="257"/>
      <c r="H23" s="257" t="s">
        <v>22</v>
      </c>
      <c r="I23" s="257"/>
      <c r="J23" s="257"/>
      <c r="K23" s="257"/>
      <c r="BD23" s="17"/>
    </row>
    <row r="24" spans="1:56" ht="14.25" customHeight="1" thickBot="1" x14ac:dyDescent="0.3">
      <c r="A24" s="16"/>
      <c r="B24" s="276" t="s">
        <v>30</v>
      </c>
      <c r="C24" s="277"/>
      <c r="D24" s="286">
        <f>IF('Agenda de Consultoria'!R39=0,"",'Agenda de Consultoria'!R39)</f>
        <v>224</v>
      </c>
      <c r="E24" s="286"/>
      <c r="F24" s="286"/>
      <c r="G24" s="286"/>
      <c r="H24" s="286">
        <f t="shared" ref="H24:H31" si="0">IF(ISERROR(D24/8),"",D24/8)</f>
        <v>28</v>
      </c>
      <c r="I24" s="286"/>
      <c r="J24" s="286"/>
      <c r="K24" s="289"/>
      <c r="M24" s="166" t="s">
        <v>40</v>
      </c>
      <c r="N24" s="110" t="s">
        <v>2</v>
      </c>
      <c r="R24" s="167" t="s">
        <v>41</v>
      </c>
      <c r="S24" s="110" t="s">
        <v>3</v>
      </c>
      <c r="W24" s="168" t="s">
        <v>42</v>
      </c>
      <c r="X24" s="110" t="s">
        <v>17</v>
      </c>
      <c r="BD24" s="17"/>
    </row>
    <row r="25" spans="1:56" ht="14.25" customHeight="1" thickBot="1" x14ac:dyDescent="0.3">
      <c r="A25" s="16"/>
      <c r="B25" s="274" t="s">
        <v>23</v>
      </c>
      <c r="C25" s="275"/>
      <c r="D25" s="287">
        <f>IF(SUM(D26:G30)=0,"",SUM(D26:G30))</f>
        <v>8</v>
      </c>
      <c r="E25" s="287"/>
      <c r="F25" s="287"/>
      <c r="G25" s="287"/>
      <c r="H25" s="287">
        <f t="shared" si="0"/>
        <v>1</v>
      </c>
      <c r="I25" s="287"/>
      <c r="J25" s="287"/>
      <c r="K25" s="288"/>
      <c r="BD25" s="17"/>
    </row>
    <row r="26" spans="1:56" ht="14.25" customHeight="1" x14ac:dyDescent="0.25">
      <c r="A26" s="16"/>
      <c r="B26" s="8" t="s">
        <v>36</v>
      </c>
      <c r="C26" s="68" t="s">
        <v>44</v>
      </c>
      <c r="D26" s="237">
        <f>IF(SUMIF('Relatório de Consultoria'!$C$5:$C$161,C26,'Relatório de Consultoria'!$D$5:$D$161)=0,"",SUMIF('Relatório de Consultoria'!$C$5:$C$161,C26,'Relatório de Consultoria'!$D$5:$D$161))</f>
        <v>8</v>
      </c>
      <c r="E26" s="237"/>
      <c r="F26" s="237"/>
      <c r="G26" s="237"/>
      <c r="H26" s="237">
        <f t="shared" si="0"/>
        <v>1</v>
      </c>
      <c r="I26" s="237"/>
      <c r="J26" s="237"/>
      <c r="K26" s="238"/>
      <c r="M26" s="252" t="s">
        <v>27</v>
      </c>
      <c r="N26" s="252"/>
      <c r="O26" s="252"/>
      <c r="P26" s="252"/>
      <c r="Q26" s="252"/>
      <c r="R26" s="252"/>
      <c r="S26" s="252"/>
      <c r="T26" s="252"/>
      <c r="U26" s="252"/>
      <c r="V26" s="252"/>
      <c r="W26" s="252"/>
      <c r="X26" s="252"/>
      <c r="Y26" s="252"/>
      <c r="Z26" s="252"/>
      <c r="AA26" s="252"/>
      <c r="AB26" s="252"/>
      <c r="AC26" s="252"/>
      <c r="AD26" s="252"/>
      <c r="AE26" s="252"/>
      <c r="AF26" s="252"/>
      <c r="AG26" s="252"/>
      <c r="AH26" s="252"/>
      <c r="AI26" s="252"/>
      <c r="AJ26" s="252"/>
      <c r="AK26" s="252"/>
      <c r="AL26" s="252"/>
      <c r="AM26" s="252"/>
      <c r="AN26" s="252"/>
      <c r="AO26" s="252"/>
      <c r="AP26" s="252"/>
      <c r="AQ26" s="252"/>
      <c r="AR26" s="252"/>
      <c r="AS26" s="252"/>
      <c r="AT26" s="252"/>
      <c r="AU26" s="252"/>
      <c r="AV26" s="252"/>
      <c r="AW26" s="252"/>
      <c r="AX26" s="252"/>
      <c r="AY26" s="252"/>
      <c r="AZ26" s="252"/>
      <c r="BA26" s="252"/>
      <c r="BB26" s="252"/>
      <c r="BC26" s="252"/>
      <c r="BD26" s="17"/>
    </row>
    <row r="27" spans="1:56" ht="14.25" customHeight="1" thickBot="1" x14ac:dyDescent="0.3">
      <c r="A27" s="16"/>
      <c r="B27" s="9"/>
      <c r="C27" s="69" t="s">
        <v>99</v>
      </c>
      <c r="D27" s="237" t="str">
        <f>IF(SUMIF('Relatório de Consultoria'!$C$5:$C$161,C27,'Relatório de Consultoria'!$D$5:$D$161)=0,"",SUMIF('Relatório de Consultoria'!$C$5:$C$161,C27,'Relatório de Consultoria'!$D$5:$D$161))</f>
        <v/>
      </c>
      <c r="E27" s="237"/>
      <c r="F27" s="237"/>
      <c r="G27" s="237"/>
      <c r="H27" s="237" t="str">
        <f t="shared" si="0"/>
        <v/>
      </c>
      <c r="I27" s="237"/>
      <c r="J27" s="237"/>
      <c r="K27" s="238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  <c r="AC27" s="253"/>
      <c r="AD27" s="253"/>
      <c r="AE27" s="253"/>
      <c r="AF27" s="253"/>
      <c r="AG27" s="253"/>
      <c r="AH27" s="253"/>
      <c r="AI27" s="253"/>
      <c r="AJ27" s="253"/>
      <c r="AK27" s="253"/>
      <c r="AL27" s="253"/>
      <c r="AM27" s="253"/>
      <c r="AN27" s="253"/>
      <c r="AO27" s="253"/>
      <c r="AP27" s="253"/>
      <c r="AQ27" s="253"/>
      <c r="AR27" s="253"/>
      <c r="AS27" s="253"/>
      <c r="AT27" s="253"/>
      <c r="AU27" s="253"/>
      <c r="AV27" s="253"/>
      <c r="AW27" s="253"/>
      <c r="AX27" s="253"/>
      <c r="AY27" s="253"/>
      <c r="AZ27" s="253"/>
      <c r="BA27" s="253"/>
      <c r="BB27" s="253"/>
      <c r="BC27" s="253"/>
      <c r="BD27" s="17"/>
    </row>
    <row r="28" spans="1:56" ht="14.25" customHeight="1" x14ac:dyDescent="0.25">
      <c r="A28" s="16"/>
      <c r="B28" s="9"/>
      <c r="C28" s="69" t="s">
        <v>100</v>
      </c>
      <c r="D28" s="237" t="str">
        <f>IF(SUMIF('Relatório de Consultoria'!$C$5:$C$161,C28,'Relatório de Consultoria'!$D$5:$D$161)=0,"",SUMIF('Relatório de Consultoria'!$C$5:$C$161,C28,'Relatório de Consultoria'!$D$5:$D$161))</f>
        <v/>
      </c>
      <c r="E28" s="237"/>
      <c r="F28" s="237"/>
      <c r="G28" s="237"/>
      <c r="H28" s="237" t="str">
        <f t="shared" si="0"/>
        <v/>
      </c>
      <c r="I28" s="237"/>
      <c r="J28" s="237"/>
      <c r="K28" s="238"/>
      <c r="M28" s="243"/>
      <c r="N28" s="244"/>
      <c r="O28" s="244"/>
      <c r="P28" s="244"/>
      <c r="Q28" s="244"/>
      <c r="R28" s="244"/>
      <c r="S28" s="244"/>
      <c r="T28" s="244"/>
      <c r="U28" s="244"/>
      <c r="V28" s="244"/>
      <c r="W28" s="244"/>
      <c r="X28" s="244"/>
      <c r="Y28" s="244"/>
      <c r="Z28" s="244"/>
      <c r="AA28" s="244"/>
      <c r="AB28" s="244"/>
      <c r="AC28" s="244"/>
      <c r="AD28" s="244"/>
      <c r="AE28" s="244"/>
      <c r="AF28" s="244"/>
      <c r="AG28" s="244"/>
      <c r="AH28" s="244"/>
      <c r="AI28" s="244"/>
      <c r="AJ28" s="244"/>
      <c r="AK28" s="244"/>
      <c r="AL28" s="244"/>
      <c r="AM28" s="244"/>
      <c r="AN28" s="244"/>
      <c r="AO28" s="244"/>
      <c r="AP28" s="244"/>
      <c r="AQ28" s="244"/>
      <c r="AR28" s="244"/>
      <c r="AS28" s="244"/>
      <c r="AT28" s="244"/>
      <c r="AU28" s="244"/>
      <c r="AV28" s="244"/>
      <c r="AW28" s="244"/>
      <c r="AX28" s="244"/>
      <c r="AY28" s="244"/>
      <c r="AZ28" s="244"/>
      <c r="BA28" s="244"/>
      <c r="BB28" s="244"/>
      <c r="BC28" s="245"/>
      <c r="BD28" s="17"/>
    </row>
    <row r="29" spans="1:56" ht="14.25" customHeight="1" x14ac:dyDescent="0.25">
      <c r="A29" s="16"/>
      <c r="B29" s="10"/>
      <c r="C29" s="69" t="s">
        <v>101</v>
      </c>
      <c r="D29" s="237" t="str">
        <f>IF(SUMIF('Relatório de Consultoria'!$C$5:$C$161,C29,'Relatório de Consultoria'!$D$5:$D$161)=0,"",SUMIF('Relatório de Consultoria'!$C$5:$C$161,C29,'Relatório de Consultoria'!$D$5:$D$161))</f>
        <v/>
      </c>
      <c r="E29" s="237"/>
      <c r="F29" s="237"/>
      <c r="G29" s="237"/>
      <c r="H29" s="237" t="str">
        <f t="shared" si="0"/>
        <v/>
      </c>
      <c r="I29" s="237"/>
      <c r="J29" s="237"/>
      <c r="K29" s="238"/>
      <c r="M29" s="246"/>
      <c r="N29" s="247"/>
      <c r="O29" s="247"/>
      <c r="P29" s="247"/>
      <c r="Q29" s="247"/>
      <c r="R29" s="247"/>
      <c r="S29" s="247"/>
      <c r="T29" s="247"/>
      <c r="U29" s="247"/>
      <c r="V29" s="247"/>
      <c r="W29" s="247"/>
      <c r="X29" s="247"/>
      <c r="Y29" s="247"/>
      <c r="Z29" s="247"/>
      <c r="AA29" s="247"/>
      <c r="AB29" s="247"/>
      <c r="AC29" s="247"/>
      <c r="AD29" s="247"/>
      <c r="AE29" s="247"/>
      <c r="AF29" s="247"/>
      <c r="AG29" s="247"/>
      <c r="AH29" s="247"/>
      <c r="AI29" s="247"/>
      <c r="AJ29" s="247"/>
      <c r="AK29" s="247"/>
      <c r="AL29" s="247"/>
      <c r="AM29" s="247"/>
      <c r="AN29" s="247"/>
      <c r="AO29" s="247"/>
      <c r="AP29" s="247"/>
      <c r="AQ29" s="247"/>
      <c r="AR29" s="247"/>
      <c r="AS29" s="247"/>
      <c r="AT29" s="247"/>
      <c r="AU29" s="247"/>
      <c r="AV29" s="247"/>
      <c r="AW29" s="247"/>
      <c r="AX29" s="247"/>
      <c r="AY29" s="247"/>
      <c r="AZ29" s="247"/>
      <c r="BA29" s="247"/>
      <c r="BB29" s="247"/>
      <c r="BC29" s="248"/>
      <c r="BD29" s="17"/>
    </row>
    <row r="30" spans="1:56" ht="14.25" customHeight="1" thickBot="1" x14ac:dyDescent="0.3">
      <c r="A30" s="16"/>
      <c r="B30" s="11"/>
      <c r="C30" s="70"/>
      <c r="D30" s="290" t="str">
        <f>IF(SUMIF('Relatório de Consultoria'!$C$5:$C$161,C30,'Relatório de Consultoria'!$D$5:$D$161)=0,"",SUMIF('Relatório de Consultoria'!$C$5:$C$161,C30,'Relatório de Consultoria'!$D$5:$D$161))</f>
        <v/>
      </c>
      <c r="E30" s="290"/>
      <c r="F30" s="290"/>
      <c r="G30" s="290"/>
      <c r="H30" s="237" t="str">
        <f t="shared" si="0"/>
        <v/>
      </c>
      <c r="I30" s="237"/>
      <c r="J30" s="237"/>
      <c r="K30" s="238"/>
      <c r="M30" s="246"/>
      <c r="N30" s="247"/>
      <c r="O30" s="247"/>
      <c r="P30" s="247"/>
      <c r="Q30" s="247"/>
      <c r="R30" s="247"/>
      <c r="S30" s="247"/>
      <c r="T30" s="247"/>
      <c r="U30" s="247"/>
      <c r="V30" s="247"/>
      <c r="W30" s="247"/>
      <c r="X30" s="247"/>
      <c r="Y30" s="247"/>
      <c r="Z30" s="247"/>
      <c r="AA30" s="247"/>
      <c r="AB30" s="247"/>
      <c r="AC30" s="247"/>
      <c r="AD30" s="247"/>
      <c r="AE30" s="247"/>
      <c r="AF30" s="247"/>
      <c r="AG30" s="247"/>
      <c r="AH30" s="247"/>
      <c r="AI30" s="247"/>
      <c r="AJ30" s="247"/>
      <c r="AK30" s="247"/>
      <c r="AL30" s="247"/>
      <c r="AM30" s="247"/>
      <c r="AN30" s="247"/>
      <c r="AO30" s="247"/>
      <c r="AP30" s="247"/>
      <c r="AQ30" s="247"/>
      <c r="AR30" s="247"/>
      <c r="AS30" s="247"/>
      <c r="AT30" s="247"/>
      <c r="AU30" s="247"/>
      <c r="AV30" s="247"/>
      <c r="AW30" s="247"/>
      <c r="AX30" s="247"/>
      <c r="AY30" s="247"/>
      <c r="AZ30" s="247"/>
      <c r="BA30" s="247"/>
      <c r="BB30" s="247"/>
      <c r="BC30" s="248"/>
      <c r="BD30" s="17"/>
    </row>
    <row r="31" spans="1:56" ht="14.25" customHeight="1" thickBot="1" x14ac:dyDescent="0.3">
      <c r="A31" s="16"/>
      <c r="B31" s="280" t="s">
        <v>24</v>
      </c>
      <c r="C31" s="281"/>
      <c r="D31" s="282">
        <f>IF(ISERROR(D24-D25),"",D24-D25)</f>
        <v>216</v>
      </c>
      <c r="E31" s="282"/>
      <c r="F31" s="282"/>
      <c r="G31" s="282"/>
      <c r="H31" s="282">
        <f t="shared" si="0"/>
        <v>27</v>
      </c>
      <c r="I31" s="282"/>
      <c r="J31" s="282"/>
      <c r="K31" s="283"/>
      <c r="M31" s="246"/>
      <c r="N31" s="247"/>
      <c r="O31" s="247"/>
      <c r="P31" s="247"/>
      <c r="Q31" s="247"/>
      <c r="R31" s="247"/>
      <c r="S31" s="247"/>
      <c r="T31" s="247"/>
      <c r="U31" s="247"/>
      <c r="V31" s="247"/>
      <c r="W31" s="247"/>
      <c r="X31" s="247"/>
      <c r="Y31" s="247"/>
      <c r="Z31" s="247"/>
      <c r="AA31" s="247"/>
      <c r="AB31" s="247"/>
      <c r="AC31" s="247"/>
      <c r="AD31" s="247"/>
      <c r="AE31" s="247"/>
      <c r="AF31" s="247"/>
      <c r="AG31" s="247"/>
      <c r="AH31" s="247"/>
      <c r="AI31" s="247"/>
      <c r="AJ31" s="247"/>
      <c r="AK31" s="247"/>
      <c r="AL31" s="247"/>
      <c r="AM31" s="247"/>
      <c r="AN31" s="247"/>
      <c r="AO31" s="247"/>
      <c r="AP31" s="247"/>
      <c r="AQ31" s="247"/>
      <c r="AR31" s="247"/>
      <c r="AS31" s="247"/>
      <c r="AT31" s="247"/>
      <c r="AU31" s="247"/>
      <c r="AV31" s="247"/>
      <c r="AW31" s="247"/>
      <c r="AX31" s="247"/>
      <c r="AY31" s="247"/>
      <c r="AZ31" s="247"/>
      <c r="BA31" s="247"/>
      <c r="BB31" s="247"/>
      <c r="BC31" s="248"/>
      <c r="BD31" s="17"/>
    </row>
    <row r="32" spans="1:56" ht="14.25" customHeight="1" thickBot="1" x14ac:dyDescent="0.3">
      <c r="A32" s="16"/>
      <c r="B32" s="284" t="s">
        <v>25</v>
      </c>
      <c r="C32" s="285"/>
      <c r="D32" s="258">
        <f>IF(IF(ISERROR(D25/D24),0,D25/D24)=0,"",IF(ISERROR(D25/D24),0,D25/D24))</f>
        <v>3.5714285714285712E-2</v>
      </c>
      <c r="E32" s="258"/>
      <c r="F32" s="258"/>
      <c r="G32" s="258"/>
      <c r="H32" s="258"/>
      <c r="I32" s="258"/>
      <c r="J32" s="258"/>
      <c r="K32" s="259"/>
      <c r="M32" s="246"/>
      <c r="N32" s="247"/>
      <c r="O32" s="247"/>
      <c r="P32" s="247"/>
      <c r="Q32" s="247"/>
      <c r="R32" s="247"/>
      <c r="S32" s="247"/>
      <c r="T32" s="247"/>
      <c r="U32" s="247"/>
      <c r="V32" s="247"/>
      <c r="W32" s="247"/>
      <c r="X32" s="247"/>
      <c r="Y32" s="247"/>
      <c r="Z32" s="247"/>
      <c r="AA32" s="247"/>
      <c r="AB32" s="247"/>
      <c r="AC32" s="247"/>
      <c r="AD32" s="247"/>
      <c r="AE32" s="247"/>
      <c r="AF32" s="247"/>
      <c r="AG32" s="247"/>
      <c r="AH32" s="247"/>
      <c r="AI32" s="247"/>
      <c r="AJ32" s="247"/>
      <c r="AK32" s="247"/>
      <c r="AL32" s="247"/>
      <c r="AM32" s="247"/>
      <c r="AN32" s="247"/>
      <c r="AO32" s="247"/>
      <c r="AP32" s="247"/>
      <c r="AQ32" s="247"/>
      <c r="AR32" s="247"/>
      <c r="AS32" s="247"/>
      <c r="AT32" s="247"/>
      <c r="AU32" s="247"/>
      <c r="AV32" s="247"/>
      <c r="AW32" s="247"/>
      <c r="AX32" s="247"/>
      <c r="AY32" s="247"/>
      <c r="AZ32" s="247"/>
      <c r="BA32" s="247"/>
      <c r="BB32" s="247"/>
      <c r="BC32" s="248"/>
      <c r="BD32" s="17"/>
    </row>
    <row r="33" spans="1:56" ht="9.9" customHeight="1" x14ac:dyDescent="0.25">
      <c r="A33" s="16"/>
      <c r="B33" s="111"/>
      <c r="C33" s="111"/>
      <c r="D33" s="112"/>
      <c r="E33" s="112"/>
      <c r="F33" s="112"/>
      <c r="G33" s="112"/>
      <c r="H33" s="112"/>
      <c r="I33" s="112"/>
      <c r="J33" s="112"/>
      <c r="K33" s="112"/>
      <c r="M33" s="246"/>
      <c r="N33" s="247"/>
      <c r="O33" s="247"/>
      <c r="P33" s="247"/>
      <c r="Q33" s="247"/>
      <c r="R33" s="247"/>
      <c r="S33" s="247"/>
      <c r="T33" s="247"/>
      <c r="U33" s="247"/>
      <c r="V33" s="247"/>
      <c r="W33" s="247"/>
      <c r="X33" s="247"/>
      <c r="Y33" s="247"/>
      <c r="Z33" s="247"/>
      <c r="AA33" s="247"/>
      <c r="AB33" s="247"/>
      <c r="AC33" s="247"/>
      <c r="AD33" s="247"/>
      <c r="AE33" s="247"/>
      <c r="AF33" s="247"/>
      <c r="AG33" s="247"/>
      <c r="AH33" s="247"/>
      <c r="AI33" s="247"/>
      <c r="AJ33" s="247"/>
      <c r="AK33" s="247"/>
      <c r="AL33" s="247"/>
      <c r="AM33" s="247"/>
      <c r="AN33" s="247"/>
      <c r="AO33" s="247"/>
      <c r="AP33" s="247"/>
      <c r="AQ33" s="247"/>
      <c r="AR33" s="247"/>
      <c r="AS33" s="247"/>
      <c r="AT33" s="247"/>
      <c r="AU33" s="247"/>
      <c r="AV33" s="247"/>
      <c r="AW33" s="247"/>
      <c r="AX33" s="247"/>
      <c r="AY33" s="247"/>
      <c r="AZ33" s="247"/>
      <c r="BA33" s="247"/>
      <c r="BB33" s="247"/>
      <c r="BC33" s="248"/>
      <c r="BD33" s="17"/>
    </row>
    <row r="34" spans="1:56" ht="9.9" customHeight="1" x14ac:dyDescent="0.25">
      <c r="A34" s="16"/>
      <c r="B34" s="111"/>
      <c r="C34" s="111"/>
      <c r="D34" s="112"/>
      <c r="E34" s="112"/>
      <c r="F34" s="112"/>
      <c r="G34" s="112"/>
      <c r="H34" s="112"/>
      <c r="I34" s="112"/>
      <c r="J34" s="112"/>
      <c r="K34" s="112"/>
      <c r="M34" s="246"/>
      <c r="N34" s="247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247"/>
      <c r="AB34" s="247"/>
      <c r="AC34" s="247"/>
      <c r="AD34" s="247"/>
      <c r="AE34" s="247"/>
      <c r="AF34" s="247"/>
      <c r="AG34" s="247"/>
      <c r="AH34" s="247"/>
      <c r="AI34" s="247"/>
      <c r="AJ34" s="247"/>
      <c r="AK34" s="247"/>
      <c r="AL34" s="247"/>
      <c r="AM34" s="247"/>
      <c r="AN34" s="247"/>
      <c r="AO34" s="247"/>
      <c r="AP34" s="247"/>
      <c r="AQ34" s="247"/>
      <c r="AR34" s="247"/>
      <c r="AS34" s="247"/>
      <c r="AT34" s="247"/>
      <c r="AU34" s="247"/>
      <c r="AV34" s="247"/>
      <c r="AW34" s="247"/>
      <c r="AX34" s="247"/>
      <c r="AY34" s="247"/>
      <c r="AZ34" s="247"/>
      <c r="BA34" s="247"/>
      <c r="BB34" s="247"/>
      <c r="BC34" s="248"/>
      <c r="BD34" s="17"/>
    </row>
    <row r="35" spans="1:56" ht="9.9" customHeight="1" x14ac:dyDescent="0.25">
      <c r="A35" s="16"/>
      <c r="B35" s="111"/>
      <c r="C35" s="111"/>
      <c r="D35" s="112"/>
      <c r="E35" s="112"/>
      <c r="F35" s="112"/>
      <c r="G35" s="112"/>
      <c r="H35" s="112"/>
      <c r="I35" s="112"/>
      <c r="J35" s="112"/>
      <c r="K35" s="112"/>
      <c r="M35" s="246"/>
      <c r="N35" s="247"/>
      <c r="O35" s="247"/>
      <c r="P35" s="247"/>
      <c r="Q35" s="247"/>
      <c r="R35" s="247"/>
      <c r="S35" s="247"/>
      <c r="T35" s="247"/>
      <c r="U35" s="247"/>
      <c r="V35" s="247"/>
      <c r="W35" s="247"/>
      <c r="X35" s="247"/>
      <c r="Y35" s="247"/>
      <c r="Z35" s="247"/>
      <c r="AA35" s="247"/>
      <c r="AB35" s="247"/>
      <c r="AC35" s="247"/>
      <c r="AD35" s="247"/>
      <c r="AE35" s="247"/>
      <c r="AF35" s="247"/>
      <c r="AG35" s="247"/>
      <c r="AH35" s="247"/>
      <c r="AI35" s="247"/>
      <c r="AJ35" s="247"/>
      <c r="AK35" s="247"/>
      <c r="AL35" s="247"/>
      <c r="AM35" s="247"/>
      <c r="AN35" s="247"/>
      <c r="AO35" s="247"/>
      <c r="AP35" s="247"/>
      <c r="AQ35" s="247"/>
      <c r="AR35" s="247"/>
      <c r="AS35" s="247"/>
      <c r="AT35" s="247"/>
      <c r="AU35" s="247"/>
      <c r="AV35" s="247"/>
      <c r="AW35" s="247"/>
      <c r="AX35" s="247"/>
      <c r="AY35" s="247"/>
      <c r="AZ35" s="247"/>
      <c r="BA35" s="247"/>
      <c r="BB35" s="247"/>
      <c r="BC35" s="248"/>
      <c r="BD35" s="17"/>
    </row>
    <row r="36" spans="1:56" ht="9.9" customHeight="1" thickBot="1" x14ac:dyDescent="0.3">
      <c r="A36" s="16"/>
      <c r="B36" s="111"/>
      <c r="C36" s="111"/>
      <c r="D36" s="112"/>
      <c r="E36" s="112"/>
      <c r="F36" s="112"/>
      <c r="G36" s="112"/>
      <c r="H36" s="112"/>
      <c r="I36" s="112"/>
      <c r="J36" s="112"/>
      <c r="K36" s="112"/>
      <c r="M36" s="246"/>
      <c r="N36" s="247"/>
      <c r="O36" s="247"/>
      <c r="P36" s="247"/>
      <c r="Q36" s="247"/>
      <c r="R36" s="247"/>
      <c r="S36" s="247"/>
      <c r="T36" s="247"/>
      <c r="U36" s="247"/>
      <c r="V36" s="247"/>
      <c r="W36" s="247"/>
      <c r="X36" s="247"/>
      <c r="Y36" s="247"/>
      <c r="Z36" s="247"/>
      <c r="AA36" s="247"/>
      <c r="AB36" s="247"/>
      <c r="AC36" s="247"/>
      <c r="AD36" s="247"/>
      <c r="AE36" s="247"/>
      <c r="AF36" s="247"/>
      <c r="AG36" s="247"/>
      <c r="AH36" s="247"/>
      <c r="AI36" s="247"/>
      <c r="AJ36" s="247"/>
      <c r="AK36" s="247"/>
      <c r="AL36" s="247"/>
      <c r="AM36" s="247"/>
      <c r="AN36" s="247"/>
      <c r="AO36" s="247"/>
      <c r="AP36" s="247"/>
      <c r="AQ36" s="247"/>
      <c r="AR36" s="247"/>
      <c r="AS36" s="247"/>
      <c r="AT36" s="247"/>
      <c r="AU36" s="247"/>
      <c r="AV36" s="247"/>
      <c r="AW36" s="247"/>
      <c r="AX36" s="247"/>
      <c r="AY36" s="247"/>
      <c r="AZ36" s="247"/>
      <c r="BA36" s="247"/>
      <c r="BB36" s="247"/>
      <c r="BC36" s="248"/>
      <c r="BD36" s="17"/>
    </row>
    <row r="37" spans="1:56" ht="108" customHeight="1" thickBot="1" x14ac:dyDescent="0.3">
      <c r="A37" s="16"/>
      <c r="C37" s="111"/>
      <c r="D37" s="112"/>
      <c r="E37" s="112"/>
      <c r="G37" s="113" t="s">
        <v>39</v>
      </c>
      <c r="H37" s="240" t="str">
        <f>IF(ISERROR(SUM('Relatório de Consultoria'!D5:D161)/'Agenda de Consultoria'!D57),"",SUM('Relatório de Consultoria'!D5:D161)/'Agenda de Consultoria'!D57)</f>
        <v/>
      </c>
      <c r="I37" s="241"/>
      <c r="J37" s="241"/>
      <c r="K37" s="242"/>
      <c r="M37" s="249"/>
      <c r="N37" s="250"/>
      <c r="O37" s="250"/>
      <c r="P37" s="250"/>
      <c r="Q37" s="250"/>
      <c r="R37" s="250"/>
      <c r="S37" s="250"/>
      <c r="T37" s="250"/>
      <c r="U37" s="250"/>
      <c r="V37" s="250"/>
      <c r="W37" s="250"/>
      <c r="X37" s="250"/>
      <c r="Y37" s="250"/>
      <c r="Z37" s="250"/>
      <c r="AA37" s="250"/>
      <c r="AB37" s="250"/>
      <c r="AC37" s="250"/>
      <c r="AD37" s="250"/>
      <c r="AE37" s="250"/>
      <c r="AF37" s="250"/>
      <c r="AG37" s="250"/>
      <c r="AH37" s="250"/>
      <c r="AI37" s="250"/>
      <c r="AJ37" s="250"/>
      <c r="AK37" s="250"/>
      <c r="AL37" s="250"/>
      <c r="AM37" s="250"/>
      <c r="AN37" s="250"/>
      <c r="AO37" s="250"/>
      <c r="AP37" s="250"/>
      <c r="AQ37" s="250"/>
      <c r="AR37" s="250"/>
      <c r="AS37" s="250"/>
      <c r="AT37" s="250"/>
      <c r="AU37" s="250"/>
      <c r="AV37" s="250"/>
      <c r="AW37" s="250"/>
      <c r="AX37" s="250"/>
      <c r="AY37" s="250"/>
      <c r="AZ37" s="250"/>
      <c r="BA37" s="250"/>
      <c r="BB37" s="250"/>
      <c r="BC37" s="251"/>
      <c r="BD37" s="17"/>
    </row>
    <row r="38" spans="1:56" ht="9.9" customHeight="1" thickBot="1" x14ac:dyDescent="0.3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5">
      <c r="E40" s="22">
        <v>1</v>
      </c>
      <c r="F40" s="23" t="s">
        <v>4</v>
      </c>
    </row>
    <row r="41" spans="1:56" hidden="1" x14ac:dyDescent="0.25">
      <c r="E41" s="22">
        <v>2</v>
      </c>
      <c r="F41" s="23" t="s">
        <v>5</v>
      </c>
    </row>
    <row r="42" spans="1:56" hidden="1" x14ac:dyDescent="0.25">
      <c r="E42" s="22">
        <v>3</v>
      </c>
      <c r="F42" s="23" t="s">
        <v>6</v>
      </c>
    </row>
    <row r="43" spans="1:56" hidden="1" x14ac:dyDescent="0.25">
      <c r="E43" s="22">
        <v>4</v>
      </c>
      <c r="F43" s="23" t="s">
        <v>7</v>
      </c>
    </row>
    <row r="44" spans="1:56" hidden="1" x14ac:dyDescent="0.25">
      <c r="E44" s="22">
        <v>5</v>
      </c>
      <c r="F44" s="22" t="s">
        <v>8</v>
      </c>
    </row>
    <row r="45" spans="1:56" hidden="1" x14ac:dyDescent="0.25">
      <c r="E45" s="22">
        <v>6</v>
      </c>
      <c r="F45" s="22" t="s">
        <v>9</v>
      </c>
    </row>
    <row r="46" spans="1:56" hidden="1" x14ac:dyDescent="0.25">
      <c r="E46" s="22">
        <v>7</v>
      </c>
      <c r="F46" s="22" t="s">
        <v>10</v>
      </c>
    </row>
    <row r="47" spans="1:56" hidden="1" x14ac:dyDescent="0.25">
      <c r="E47" s="22">
        <v>8</v>
      </c>
      <c r="F47" s="22" t="s">
        <v>11</v>
      </c>
    </row>
    <row r="48" spans="1:56" hidden="1" x14ac:dyDescent="0.25">
      <c r="E48" s="22">
        <v>9</v>
      </c>
      <c r="F48" s="22" t="s">
        <v>12</v>
      </c>
    </row>
    <row r="49" spans="5:6" hidden="1" x14ac:dyDescent="0.25">
      <c r="E49" s="22">
        <v>10</v>
      </c>
      <c r="F49" s="22" t="s">
        <v>13</v>
      </c>
    </row>
    <row r="50" spans="5:6" hidden="1" x14ac:dyDescent="0.25">
      <c r="E50" s="22">
        <v>11</v>
      </c>
      <c r="F50" s="22" t="s">
        <v>14</v>
      </c>
    </row>
    <row r="51" spans="5:6" hidden="1" x14ac:dyDescent="0.25">
      <c r="E51" s="22">
        <v>12</v>
      </c>
      <c r="F51" s="22" t="s">
        <v>15</v>
      </c>
    </row>
  </sheetData>
  <sheetProtection formatColumns="0" formatRows="0" insertRows="0" deleteRows="0"/>
  <mergeCells count="60"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  <mergeCell ref="B7:B8"/>
    <mergeCell ref="H27:K27"/>
    <mergeCell ref="B25:C25"/>
    <mergeCell ref="D23:G23"/>
    <mergeCell ref="D26:G26"/>
    <mergeCell ref="D27:G27"/>
    <mergeCell ref="B24:C24"/>
    <mergeCell ref="C7:C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F6:AI6"/>
    <mergeCell ref="AU4:BC4"/>
    <mergeCell ref="D7:G7"/>
    <mergeCell ref="L6:O6"/>
    <mergeCell ref="H26:K26"/>
    <mergeCell ref="D6:G6"/>
    <mergeCell ref="L7:O7"/>
    <mergeCell ref="P7:S7"/>
    <mergeCell ref="I4:Y4"/>
  </mergeCells>
  <phoneticPr fontId="2" type="noConversion"/>
  <conditionalFormatting sqref="D9:G21">
    <cfRule type="expression" dxfId="764" priority="289" stopIfTrue="1">
      <formula>D9="V"</formula>
    </cfRule>
    <cfRule type="expression" dxfId="763" priority="290" stopIfTrue="1">
      <formula>D9="P"</formula>
    </cfRule>
    <cfRule type="expression" dxfId="762" priority="291" stopIfTrue="1">
      <formula>D9="R"</formula>
    </cfRule>
  </conditionalFormatting>
  <conditionalFormatting sqref="H9:AU21 AZ9:BC21">
    <cfRule type="expression" dxfId="761" priority="4" stopIfTrue="1">
      <formula>H9="V"</formula>
    </cfRule>
    <cfRule type="expression" dxfId="760" priority="5" stopIfTrue="1">
      <formula>H9="P"</formula>
    </cfRule>
    <cfRule type="expression" dxfId="759" priority="6" stopIfTrue="1">
      <formula>H9="R"</formula>
    </cfRule>
  </conditionalFormatting>
  <conditionalFormatting sqref="AV9:AY21">
    <cfRule type="expression" dxfId="758" priority="1" stopIfTrue="1">
      <formula>AV9="V"</formula>
    </cfRule>
    <cfRule type="expression" dxfId="757" priority="2" stopIfTrue="1">
      <formula>AV9="P"</formula>
    </cfRule>
    <cfRule type="expression" dxfId="756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8" zoomScaleNormal="58" zoomScaleSheetLayoutView="92" workbookViewId="0">
      <pane xSplit="4" ySplit="1" topLeftCell="E12" activePane="bottomRight" state="frozen"/>
      <selection activeCell="A2" sqref="A2"/>
      <selection pane="topRight" activeCell="E2" sqref="E2"/>
      <selection pane="bottomLeft" activeCell="A3" sqref="A3"/>
      <selection pane="bottomRight" activeCell="P30" sqref="P30"/>
    </sheetView>
  </sheetViews>
  <sheetFormatPr defaultColWidth="11.44140625" defaultRowHeight="13.2" x14ac:dyDescent="0.25"/>
  <cols>
    <col min="1" max="1" width="1.44140625" style="15" customWidth="1"/>
    <col min="2" max="2" width="11.33203125" style="15" customWidth="1"/>
    <col min="3" max="3" width="2.88671875" style="15" hidden="1" customWidth="1"/>
    <col min="4" max="4" width="0.109375" style="15" customWidth="1"/>
    <col min="5" max="10" width="4.44140625" style="15" customWidth="1"/>
    <col min="11" max="11" width="0.109375" style="15" customWidth="1"/>
    <col min="12" max="12" width="0.5546875" style="15" customWidth="1"/>
    <col min="13" max="14" width="4.44140625" style="15" customWidth="1"/>
    <col min="15" max="15" width="6.6640625" style="15" bestFit="1" customWidth="1"/>
    <col min="16" max="17" width="5.44140625" style="15" bestFit="1" customWidth="1"/>
    <col min="18" max="18" width="6.44140625" style="15" customWidth="1"/>
    <col min="19" max="19" width="0.109375" style="15" hidden="1" customWidth="1"/>
    <col min="20" max="20" width="0.6640625" style="15" hidden="1" customWidth="1"/>
    <col min="21" max="21" width="3.88671875" style="15" customWidth="1"/>
    <col min="22" max="22" width="4.6640625" style="15" customWidth="1"/>
    <col min="23" max="25" width="4.44140625" style="15" customWidth="1"/>
    <col min="26" max="26" width="6.88671875" style="15" customWidth="1"/>
    <col min="27" max="27" width="0.5546875" style="15" customWidth="1"/>
    <col min="28" max="28" width="3.6640625" style="15" hidden="1" customWidth="1"/>
    <col min="29" max="33" width="4.44140625" style="15" customWidth="1"/>
    <col min="34" max="34" width="4.109375" style="15" customWidth="1"/>
    <col min="35" max="35" width="6.109375" style="15" hidden="1" customWidth="1"/>
    <col min="36" max="36" width="0.109375" style="15" customWidth="1"/>
    <col min="37" max="37" width="5.5546875" style="15" customWidth="1"/>
    <col min="38" max="41" width="4.44140625" style="15" customWidth="1"/>
    <col min="42" max="42" width="4.5546875" style="15" customWidth="1"/>
    <col min="43" max="43" width="0.109375" style="15" hidden="1" customWidth="1"/>
    <col min="44" max="44" width="9.44140625" style="15" hidden="1" customWidth="1"/>
    <col min="45" max="49" width="4.44140625" style="15" customWidth="1"/>
    <col min="50" max="50" width="6.33203125" style="15" bestFit="1" customWidth="1"/>
    <col min="51" max="51" width="7.88671875" style="15" hidden="1" customWidth="1"/>
    <col min="52" max="52" width="0.33203125" style="15" customWidth="1"/>
    <col min="53" max="57" width="4.44140625" style="15" customWidth="1"/>
    <col min="58" max="58" width="6.6640625" style="15" customWidth="1"/>
    <col min="59" max="59" width="6" style="15" hidden="1" customWidth="1"/>
    <col min="60" max="60" width="0.5546875" style="15" customWidth="1"/>
    <col min="61" max="65" width="4.44140625" style="15" customWidth="1"/>
    <col min="66" max="66" width="5.44140625" style="15" customWidth="1"/>
    <col min="67" max="67" width="6.44140625" style="15" hidden="1" customWidth="1"/>
    <col min="68" max="68" width="0.33203125" style="15" customWidth="1"/>
    <col min="69" max="73" width="4.44140625" style="15" customWidth="1"/>
    <col min="74" max="74" width="5.109375" style="15" customWidth="1"/>
    <col min="75" max="75" width="0.109375" style="15" customWidth="1"/>
    <col min="76" max="76" width="0.5546875" style="15" hidden="1" customWidth="1"/>
    <col min="77" max="77" width="3.88671875" style="15" customWidth="1"/>
    <col min="78" max="81" width="4.44140625" style="15" customWidth="1"/>
    <col min="82" max="82" width="5.33203125" style="15" customWidth="1"/>
    <col min="83" max="83" width="11.6640625" style="15" hidden="1" customWidth="1"/>
    <col min="84" max="84" width="0.109375" style="15" customWidth="1"/>
    <col min="85" max="90" width="4.44140625" style="15" customWidth="1"/>
    <col min="91" max="91" width="12.88671875" style="15" hidden="1" customWidth="1"/>
    <col min="92" max="92" width="4.44140625" style="15" hidden="1" customWidth="1"/>
    <col min="93" max="93" width="0.88671875" style="15" hidden="1" customWidth="1"/>
    <col min="94" max="94" width="18.109375" style="15" bestFit="1" customWidth="1"/>
    <col min="95" max="178" width="9.109375" style="15" customWidth="1"/>
    <col min="179" max="16384" width="11.44140625" style="15"/>
  </cols>
  <sheetData>
    <row r="1" spans="1:95" ht="9.9" customHeight="1" x14ac:dyDescent="0.25">
      <c r="C1" s="225" t="s">
        <v>127</v>
      </c>
    </row>
    <row r="2" spans="1:95" ht="45" customHeight="1" x14ac:dyDescent="0.25">
      <c r="B2" s="293" t="s">
        <v>31</v>
      </c>
      <c r="C2" s="293"/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3"/>
      <c r="AW2" s="293"/>
      <c r="AX2" s="293"/>
      <c r="AY2" s="293"/>
      <c r="AZ2" s="293"/>
      <c r="BA2" s="293"/>
      <c r="BB2" s="293"/>
      <c r="BC2" s="293"/>
      <c r="BD2" s="293"/>
      <c r="BE2" s="293"/>
      <c r="BF2" s="293"/>
      <c r="BG2" s="293"/>
      <c r="BH2" s="293"/>
      <c r="BI2" s="293"/>
      <c r="BJ2" s="293"/>
      <c r="BK2" s="293"/>
      <c r="BL2" s="293"/>
      <c r="BM2" s="293"/>
      <c r="BN2" s="293"/>
      <c r="BO2" s="293"/>
      <c r="BP2" s="293"/>
      <c r="BQ2" s="293"/>
      <c r="BR2" s="293"/>
      <c r="BS2" s="293"/>
      <c r="BT2" s="293"/>
      <c r="BU2" s="293"/>
      <c r="BV2" s="293"/>
      <c r="BW2" s="293"/>
      <c r="BX2" s="293"/>
      <c r="BY2" s="293"/>
      <c r="BZ2" s="293"/>
      <c r="CA2" s="293"/>
      <c r="CB2" s="293"/>
      <c r="CC2" s="293"/>
      <c r="CD2" s="293"/>
      <c r="CE2" s="293"/>
      <c r="CF2" s="293"/>
      <c r="CG2" s="293"/>
      <c r="CH2" s="293"/>
      <c r="CI2" s="293"/>
      <c r="CJ2" s="293"/>
      <c r="CK2" s="293"/>
      <c r="CL2" s="293"/>
      <c r="CM2" s="293"/>
      <c r="CN2" s="293"/>
    </row>
    <row r="3" spans="1:95" s="82" customFormat="1" ht="24.75" customHeight="1" x14ac:dyDescent="0.25">
      <c r="A3" s="199">
        <v>0</v>
      </c>
      <c r="B3" s="199">
        <v>1</v>
      </c>
      <c r="C3" s="199">
        <v>2</v>
      </c>
      <c r="D3" s="199">
        <v>3</v>
      </c>
      <c r="E3" s="199">
        <v>4</v>
      </c>
      <c r="F3" s="199">
        <v>5</v>
      </c>
      <c r="G3" s="199">
        <v>6</v>
      </c>
      <c r="H3" s="199">
        <v>7</v>
      </c>
      <c r="I3" s="199">
        <v>8</v>
      </c>
      <c r="J3" s="199">
        <v>9</v>
      </c>
      <c r="K3" s="199">
        <v>10</v>
      </c>
      <c r="L3" s="199">
        <v>11</v>
      </c>
      <c r="M3" s="199">
        <v>12</v>
      </c>
      <c r="N3" s="199">
        <v>13</v>
      </c>
      <c r="O3" s="199">
        <v>14</v>
      </c>
      <c r="P3" s="199">
        <v>15</v>
      </c>
      <c r="Q3" s="199">
        <v>16</v>
      </c>
      <c r="R3" s="199">
        <v>17</v>
      </c>
      <c r="S3" s="199">
        <v>18</v>
      </c>
      <c r="T3" s="199">
        <v>19</v>
      </c>
      <c r="U3" s="199">
        <v>20</v>
      </c>
      <c r="V3" s="199">
        <v>21</v>
      </c>
      <c r="W3" s="199">
        <v>22</v>
      </c>
      <c r="X3" s="199">
        <v>23</v>
      </c>
      <c r="Y3" s="199">
        <v>24</v>
      </c>
      <c r="Z3" s="199">
        <v>25</v>
      </c>
      <c r="AA3" s="199">
        <v>26</v>
      </c>
      <c r="AB3" s="199">
        <v>27</v>
      </c>
      <c r="AC3" s="199">
        <v>28</v>
      </c>
      <c r="AD3" s="199">
        <v>29</v>
      </c>
      <c r="AE3" s="199">
        <v>30</v>
      </c>
      <c r="AF3" s="199">
        <v>31</v>
      </c>
      <c r="AG3" s="199">
        <v>32</v>
      </c>
      <c r="AH3" s="199">
        <v>33</v>
      </c>
      <c r="AI3" s="199">
        <v>34</v>
      </c>
      <c r="AJ3" s="199">
        <v>35</v>
      </c>
      <c r="AK3" s="199">
        <v>36</v>
      </c>
      <c r="AL3" s="199">
        <v>37</v>
      </c>
      <c r="AM3" s="199">
        <v>38</v>
      </c>
      <c r="AN3" s="199">
        <v>39</v>
      </c>
      <c r="AO3" s="199">
        <v>40</v>
      </c>
      <c r="AP3" s="199">
        <v>41</v>
      </c>
      <c r="AQ3" s="199">
        <v>42</v>
      </c>
      <c r="AR3" s="199">
        <v>43</v>
      </c>
      <c r="AS3" s="199">
        <v>44</v>
      </c>
      <c r="AT3" s="199">
        <v>45</v>
      </c>
      <c r="AU3" s="199">
        <v>46</v>
      </c>
      <c r="AV3" s="199">
        <v>47</v>
      </c>
      <c r="AW3" s="199">
        <v>48</v>
      </c>
      <c r="AX3" s="199">
        <v>49</v>
      </c>
      <c r="AY3" s="199">
        <v>50</v>
      </c>
      <c r="AZ3" s="199">
        <v>51</v>
      </c>
      <c r="BA3" s="199">
        <v>52</v>
      </c>
      <c r="BB3" s="199">
        <v>53</v>
      </c>
      <c r="BC3" s="199">
        <v>54</v>
      </c>
      <c r="BD3" s="199">
        <v>55</v>
      </c>
      <c r="BE3" s="199">
        <v>56</v>
      </c>
      <c r="BF3" s="199">
        <v>57</v>
      </c>
      <c r="BG3" s="199">
        <v>58</v>
      </c>
      <c r="BH3" s="199">
        <v>59</v>
      </c>
      <c r="BI3" s="199">
        <v>60</v>
      </c>
      <c r="BJ3" s="199">
        <v>61</v>
      </c>
      <c r="BK3" s="199">
        <v>62</v>
      </c>
      <c r="BL3" s="199">
        <v>63</v>
      </c>
      <c r="BM3" s="199">
        <v>64</v>
      </c>
      <c r="BN3" s="199">
        <v>65</v>
      </c>
      <c r="BO3" s="199">
        <v>66</v>
      </c>
      <c r="BP3" s="199">
        <v>67</v>
      </c>
      <c r="BQ3" s="199">
        <v>68</v>
      </c>
      <c r="BR3" s="199">
        <v>69</v>
      </c>
      <c r="BS3" s="199">
        <v>70</v>
      </c>
      <c r="BT3" s="199">
        <v>71</v>
      </c>
      <c r="BU3" s="199">
        <v>72</v>
      </c>
      <c r="BV3" s="199">
        <v>73</v>
      </c>
      <c r="BW3" s="199">
        <v>74</v>
      </c>
      <c r="BX3" s="199">
        <v>75</v>
      </c>
      <c r="BY3" s="199">
        <v>76</v>
      </c>
      <c r="BZ3" s="199">
        <v>77</v>
      </c>
      <c r="CA3" s="199">
        <v>78</v>
      </c>
      <c r="CB3" s="199">
        <v>79</v>
      </c>
      <c r="CC3" s="199">
        <v>80</v>
      </c>
      <c r="CD3" s="199">
        <v>81</v>
      </c>
      <c r="CE3" s="199">
        <v>82</v>
      </c>
      <c r="CF3" s="199">
        <v>83</v>
      </c>
      <c r="CG3" s="199">
        <v>84</v>
      </c>
      <c r="CH3" s="199">
        <v>85</v>
      </c>
      <c r="CI3" s="199">
        <v>86</v>
      </c>
      <c r="CJ3" s="199">
        <v>87</v>
      </c>
      <c r="CK3" s="199">
        <v>88</v>
      </c>
      <c r="CL3" s="199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3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3">
      <c r="B5" s="272" t="s">
        <v>28</v>
      </c>
      <c r="C5" s="300">
        <v>44805</v>
      </c>
      <c r="D5" s="303"/>
      <c r="E5" s="303"/>
      <c r="F5" s="303"/>
      <c r="G5" s="303"/>
      <c r="H5" s="303"/>
      <c r="I5" s="303"/>
      <c r="J5" s="304"/>
      <c r="K5" s="300">
        <v>44835</v>
      </c>
      <c r="L5" s="303"/>
      <c r="M5" s="303"/>
      <c r="N5" s="303"/>
      <c r="O5" s="303"/>
      <c r="P5" s="303"/>
      <c r="Q5" s="303"/>
      <c r="R5" s="304"/>
      <c r="S5" s="300">
        <v>44866</v>
      </c>
      <c r="T5" s="303"/>
      <c r="U5" s="303"/>
      <c r="V5" s="303"/>
      <c r="W5" s="303"/>
      <c r="X5" s="303"/>
      <c r="Y5" s="303"/>
      <c r="Z5" s="304"/>
      <c r="AA5" s="300">
        <v>44896</v>
      </c>
      <c r="AB5" s="295"/>
      <c r="AC5" s="295"/>
      <c r="AD5" s="295"/>
      <c r="AE5" s="295"/>
      <c r="AF5" s="295"/>
      <c r="AG5" s="295"/>
      <c r="AH5" s="301"/>
      <c r="AI5" s="300">
        <v>44927</v>
      </c>
      <c r="AJ5" s="295"/>
      <c r="AK5" s="295"/>
      <c r="AL5" s="295"/>
      <c r="AM5" s="295"/>
      <c r="AN5" s="295"/>
      <c r="AO5" s="295"/>
      <c r="AP5" s="301"/>
      <c r="AQ5" s="300">
        <v>44958</v>
      </c>
      <c r="AR5" s="295"/>
      <c r="AS5" s="295"/>
      <c r="AT5" s="295"/>
      <c r="AU5" s="295"/>
      <c r="AV5" s="295"/>
      <c r="AW5" s="295"/>
      <c r="AX5" s="301"/>
      <c r="AY5" s="300">
        <v>44986</v>
      </c>
      <c r="AZ5" s="295"/>
      <c r="BA5" s="295"/>
      <c r="BB5" s="295"/>
      <c r="BC5" s="295"/>
      <c r="BD5" s="295"/>
      <c r="BE5" s="295"/>
      <c r="BF5" s="301"/>
      <c r="BG5" s="300">
        <v>45017</v>
      </c>
      <c r="BH5" s="295"/>
      <c r="BI5" s="295"/>
      <c r="BJ5" s="295"/>
      <c r="BK5" s="295"/>
      <c r="BL5" s="295"/>
      <c r="BM5" s="295"/>
      <c r="BN5" s="301"/>
      <c r="BO5" s="300">
        <v>45047</v>
      </c>
      <c r="BP5" s="303"/>
      <c r="BQ5" s="303"/>
      <c r="BR5" s="303"/>
      <c r="BS5" s="303"/>
      <c r="BT5" s="303"/>
      <c r="BU5" s="303"/>
      <c r="BV5" s="304"/>
      <c r="BW5" s="300">
        <v>45078</v>
      </c>
      <c r="BX5" s="303"/>
      <c r="BY5" s="303"/>
      <c r="BZ5" s="303"/>
      <c r="CA5" s="303"/>
      <c r="CB5" s="303"/>
      <c r="CC5" s="303"/>
      <c r="CD5" s="304"/>
      <c r="CE5" s="300">
        <v>45108</v>
      </c>
      <c r="CF5" s="295"/>
      <c r="CG5" s="295"/>
      <c r="CH5" s="295"/>
      <c r="CI5" s="295"/>
      <c r="CJ5" s="295"/>
      <c r="CK5" s="295"/>
      <c r="CL5" s="301"/>
      <c r="CM5" s="300">
        <v>44378</v>
      </c>
      <c r="CN5" s="295"/>
    </row>
    <row r="6" spans="1:95" s="80" customFormat="1" ht="20.25" customHeight="1" thickBot="1" x14ac:dyDescent="0.3">
      <c r="B6" s="302"/>
      <c r="C6" s="92" t="s">
        <v>18</v>
      </c>
      <c r="D6" s="93"/>
      <c r="E6" s="141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1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1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1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1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1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1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1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1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1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1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thickBot="1" x14ac:dyDescent="0.3">
      <c r="B7" s="29">
        <v>1</v>
      </c>
      <c r="C7" s="30">
        <v>43952</v>
      </c>
      <c r="D7" s="109">
        <f t="shared" ref="D7:D37" si="1">IF(AND(C7="",OR(D6=C5,D5=C4)),D6,IF(C7="",C6,WEEKDAY(C7)))</f>
        <v>6</v>
      </c>
      <c r="E7" s="145" t="str">
        <f t="shared" ref="E7:E37" si="2">IF(C7="","",VLOOKUP(D7,$I$49:$J$55,2,FALSE))</f>
        <v>S</v>
      </c>
      <c r="F7" s="188"/>
      <c r="G7" s="188"/>
      <c r="H7" s="188"/>
      <c r="I7" s="188"/>
      <c r="J7" s="188"/>
      <c r="K7" s="146">
        <f>K4</f>
        <v>43983</v>
      </c>
      <c r="L7" s="108">
        <f>IF(AND(K7="",OR(L6=K5,L5=K4)),L6,IF(K7="",K6,WEEKDAY(K7)))</f>
        <v>2</v>
      </c>
      <c r="M7" s="31" t="str">
        <f t="shared" ref="M7:M37" si="3">IF(K7="","",VLOOKUP(L7,$I$49:$J$55,2,FALSE))</f>
        <v>S</v>
      </c>
      <c r="N7" s="188"/>
      <c r="O7" s="188"/>
      <c r="P7" s="188"/>
      <c r="Q7" s="188"/>
      <c r="R7" s="188"/>
      <c r="S7" s="146">
        <f>S4</f>
        <v>44013</v>
      </c>
      <c r="T7" s="108">
        <f>IF(AND(S7="",OR(T6=S5,T5=S4)),T6,IF(S7="",S6,WEEKDAY(S7)))</f>
        <v>4</v>
      </c>
      <c r="U7" s="31" t="str">
        <f t="shared" ref="U7:U37" si="4">IF(S7="","",VLOOKUP(T7,$I$49:$J$55,2,FALSE))</f>
        <v>Q</v>
      </c>
      <c r="V7" s="188"/>
      <c r="W7" s="188"/>
      <c r="X7" s="188"/>
      <c r="Y7" s="188"/>
      <c r="Z7" s="188"/>
      <c r="AA7" s="146">
        <f>AA4</f>
        <v>44044</v>
      </c>
      <c r="AB7" s="108">
        <f>IF(AA7="","",WEEKDAY(AA7))</f>
        <v>7</v>
      </c>
      <c r="AC7" s="31" t="str">
        <f t="shared" ref="AC7:AC37" si="5">IF(AA7="","",VLOOKUP(AB7,$I$49:$J$55,2,FALSE))</f>
        <v>S</v>
      </c>
      <c r="AD7" s="188"/>
      <c r="AE7" s="188"/>
      <c r="AF7" s="188"/>
      <c r="AG7" s="188"/>
      <c r="AH7" s="188"/>
      <c r="AI7" s="146">
        <f>AI4</f>
        <v>44075</v>
      </c>
      <c r="AJ7" s="108">
        <f>IF(AI7="","",WEEKDAY(AI7))</f>
        <v>3</v>
      </c>
      <c r="AK7" s="31" t="str">
        <f t="shared" ref="AK7:AK37" si="6">IF(AI7="","",VLOOKUP(AJ7,$I$49:$J$55,2,FALSE))</f>
        <v>T</v>
      </c>
      <c r="AL7" s="188"/>
      <c r="AM7" s="188"/>
      <c r="AN7" s="188"/>
      <c r="AO7" s="188"/>
      <c r="AP7" s="188"/>
      <c r="AQ7" s="146">
        <f>AQ4</f>
        <v>44105</v>
      </c>
      <c r="AR7" s="108">
        <f>IF(AQ7="","",WEEKDAY(AQ7))</f>
        <v>5</v>
      </c>
      <c r="AS7" s="31" t="str">
        <f t="shared" ref="AS7:AS37" si="7">IF(AQ7="","",VLOOKUP(AR7,$I$49:$J$55,2,FALSE))</f>
        <v>Q</v>
      </c>
      <c r="AT7" s="188"/>
      <c r="AU7" s="188"/>
      <c r="AV7" s="188"/>
      <c r="AW7" s="188"/>
      <c r="AX7" s="188"/>
      <c r="AY7" s="146">
        <f>AY4</f>
        <v>44136</v>
      </c>
      <c r="AZ7" s="108">
        <f>IF(AY7="","",WEEKDAY(AY7))</f>
        <v>1</v>
      </c>
      <c r="BA7" s="31" t="str">
        <f t="shared" ref="BA7:BA37" si="8">IF(AY7="","",VLOOKUP(AZ7,$I$49:$J$55,2,FALSE))</f>
        <v>D</v>
      </c>
      <c r="BB7" s="188"/>
      <c r="BC7" s="188"/>
      <c r="BD7" s="188"/>
      <c r="BE7" s="188"/>
      <c r="BF7" s="188"/>
      <c r="BG7" s="146">
        <f>BG4</f>
        <v>44166</v>
      </c>
      <c r="BH7" s="108">
        <f>IF(BG7="","",WEEKDAY(BG7))</f>
        <v>3</v>
      </c>
      <c r="BI7" s="31" t="str">
        <f t="shared" ref="BI7:BI37" si="9">IF(BG7="","",VLOOKUP(BH7,$I$49:$J$55,2,FALSE))</f>
        <v>T</v>
      </c>
      <c r="BJ7" s="188"/>
      <c r="BK7" s="188"/>
      <c r="BL7" s="188"/>
      <c r="BM7" s="188"/>
      <c r="BN7" s="188"/>
      <c r="BO7" s="146">
        <f>BO4</f>
        <v>44256</v>
      </c>
      <c r="BP7" s="108">
        <f>IF(BO7="","",WEEKDAY(BO7))</f>
        <v>2</v>
      </c>
      <c r="BQ7" s="31" t="str">
        <f t="shared" ref="BQ7:BQ37" si="10">IF(BO7="","",VLOOKUP(BP7,$I$49:$J$55,2,FALSE))</f>
        <v>S</v>
      </c>
      <c r="BR7" s="188"/>
      <c r="BS7" s="188"/>
      <c r="BT7" s="188"/>
      <c r="BU7" s="188"/>
      <c r="BV7" s="188"/>
      <c r="BW7" s="146">
        <f>BW4</f>
        <v>44378</v>
      </c>
      <c r="BX7" s="108">
        <f>IF(BW7="","",WEEKDAY(BW7))</f>
        <v>5</v>
      </c>
      <c r="BY7" s="31" t="str">
        <f t="shared" ref="BY7:BY37" si="11">IF(BW7="","",VLOOKUP(BX7,$I$49:$J$55,2,FALSE))</f>
        <v>Q</v>
      </c>
      <c r="BZ7" s="188"/>
      <c r="CA7" s="188"/>
      <c r="CB7" s="188"/>
      <c r="CC7" s="188"/>
      <c r="CD7" s="188"/>
      <c r="CE7" s="146">
        <f>CE4</f>
        <v>44501</v>
      </c>
      <c r="CF7" s="108">
        <f>IF(CE7="","",WEEKDAY(CE7))</f>
        <v>2</v>
      </c>
      <c r="CG7" s="31" t="str">
        <f t="shared" ref="CG7:CG37" si="12">IF(CE7="","",VLOOKUP(CF7,$I$49:$J$55,2,FALSE))</f>
        <v>S</v>
      </c>
      <c r="CH7" s="188"/>
      <c r="CI7" s="188"/>
      <c r="CJ7" s="188"/>
      <c r="CK7" s="188"/>
      <c r="CL7" s="188"/>
      <c r="CM7" s="146">
        <f>CM4</f>
        <v>44531</v>
      </c>
      <c r="CN7" s="108">
        <f>IF(CM7="","",WEEKDAY(CM7))</f>
        <v>4</v>
      </c>
      <c r="CO7" s="80" t="s">
        <v>109</v>
      </c>
    </row>
    <row r="8" spans="1:95" s="80" customFormat="1" ht="20.25" customHeight="1" thickBot="1" x14ac:dyDescent="0.3">
      <c r="B8" s="32">
        <v>2</v>
      </c>
      <c r="C8" s="33">
        <f t="shared" ref="C8:C37" si="13">IF(C7="","",IF(MONTH(C7+1)&gt;MONTH(C7),"",C7+1))</f>
        <v>43953</v>
      </c>
      <c r="D8" s="143">
        <f t="shared" si="1"/>
        <v>7</v>
      </c>
      <c r="E8" s="147" t="str">
        <f t="shared" si="2"/>
        <v>S</v>
      </c>
      <c r="F8" s="189"/>
      <c r="G8" s="189"/>
      <c r="H8" s="189"/>
      <c r="I8" s="189"/>
      <c r="J8" s="189"/>
      <c r="K8" s="142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88"/>
      <c r="O8" s="188"/>
      <c r="P8" s="188"/>
      <c r="Q8" s="188"/>
      <c r="R8" s="188"/>
      <c r="S8" s="142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89"/>
      <c r="W8" s="189"/>
      <c r="X8" s="189"/>
      <c r="Y8" s="189"/>
      <c r="Z8" s="189"/>
      <c r="AA8" s="142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88"/>
      <c r="AE8" s="188"/>
      <c r="AF8" s="188"/>
      <c r="AG8" s="188"/>
      <c r="AH8" s="189"/>
      <c r="AI8" s="142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89"/>
      <c r="AM8" s="189"/>
      <c r="AN8" s="189"/>
      <c r="AO8" s="189"/>
      <c r="AP8" s="189"/>
      <c r="AQ8" s="142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89"/>
      <c r="AU8" s="189"/>
      <c r="AV8" s="189"/>
      <c r="AW8" s="189"/>
      <c r="AX8" s="189"/>
      <c r="AY8" s="142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89"/>
      <c r="BC8" s="189"/>
      <c r="BD8" s="189"/>
      <c r="BE8" s="189"/>
      <c r="BF8" s="189"/>
      <c r="BG8" s="142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89"/>
      <c r="BK8" s="189"/>
      <c r="BL8" s="189"/>
      <c r="BM8" s="189"/>
      <c r="BN8" s="189"/>
      <c r="BO8" s="142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89"/>
      <c r="BS8" s="189"/>
      <c r="BT8" s="189"/>
      <c r="BU8" s="189"/>
      <c r="BV8" s="189"/>
      <c r="BW8" s="142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89"/>
      <c r="CA8" s="189"/>
      <c r="CB8" s="189"/>
      <c r="CC8" s="189"/>
      <c r="CD8" s="189"/>
      <c r="CE8" s="142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89"/>
      <c r="CI8" s="189"/>
      <c r="CJ8" s="189"/>
      <c r="CK8" s="189"/>
      <c r="CL8" s="189"/>
      <c r="CM8" s="142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thickBot="1" x14ac:dyDescent="0.3">
      <c r="B9" s="32">
        <v>3</v>
      </c>
      <c r="C9" s="33">
        <f t="shared" si="13"/>
        <v>43954</v>
      </c>
      <c r="D9" s="143">
        <f t="shared" si="1"/>
        <v>1</v>
      </c>
      <c r="E9" s="147" t="str">
        <f t="shared" si="2"/>
        <v>D</v>
      </c>
      <c r="F9" s="189"/>
      <c r="G9" s="189"/>
      <c r="H9" s="189"/>
      <c r="I9" s="189"/>
      <c r="J9" s="189"/>
      <c r="K9" s="142">
        <f t="shared" si="14"/>
        <v>43985</v>
      </c>
      <c r="L9" s="34">
        <f t="shared" si="15"/>
        <v>4</v>
      </c>
      <c r="M9" s="35" t="str">
        <f t="shared" si="3"/>
        <v>Q</v>
      </c>
      <c r="N9" s="188"/>
      <c r="O9" s="188"/>
      <c r="P9" s="188"/>
      <c r="Q9" s="188"/>
      <c r="R9" s="188"/>
      <c r="S9" s="142">
        <f t="shared" si="16"/>
        <v>44015</v>
      </c>
      <c r="T9" s="34">
        <f t="shared" si="17"/>
        <v>6</v>
      </c>
      <c r="U9" s="35" t="str">
        <f t="shared" si="4"/>
        <v>S</v>
      </c>
      <c r="V9" s="189"/>
      <c r="W9" s="189"/>
      <c r="X9" s="189"/>
      <c r="Y9" s="189"/>
      <c r="Z9" s="189"/>
      <c r="AA9" s="142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88"/>
      <c r="AE9" s="188"/>
      <c r="AF9" s="188"/>
      <c r="AG9" s="188"/>
      <c r="AH9" s="189"/>
      <c r="AI9" s="142">
        <f t="shared" si="19"/>
        <v>44077</v>
      </c>
      <c r="AJ9" s="34">
        <f t="shared" si="20"/>
        <v>5</v>
      </c>
      <c r="AK9" s="35" t="str">
        <f t="shared" si="6"/>
        <v>Q</v>
      </c>
      <c r="AL9" s="189"/>
      <c r="AM9" s="189"/>
      <c r="AN9" s="189"/>
      <c r="AO9" s="189"/>
      <c r="AP9" s="189"/>
      <c r="AQ9" s="142">
        <f t="shared" si="21"/>
        <v>44107</v>
      </c>
      <c r="AR9" s="34">
        <f t="shared" si="22"/>
        <v>7</v>
      </c>
      <c r="AS9" s="35" t="str">
        <f t="shared" si="7"/>
        <v>S</v>
      </c>
      <c r="AT9" s="189"/>
      <c r="AU9" s="189"/>
      <c r="AV9" s="189"/>
      <c r="AW9" s="189"/>
      <c r="AX9" s="189"/>
      <c r="AY9" s="142">
        <f t="shared" si="23"/>
        <v>44138</v>
      </c>
      <c r="AZ9" s="34">
        <f t="shared" si="24"/>
        <v>3</v>
      </c>
      <c r="BA9" s="35" t="str">
        <f t="shared" si="8"/>
        <v>T</v>
      </c>
      <c r="BB9" s="189"/>
      <c r="BC9" s="189"/>
      <c r="BD9" s="189"/>
      <c r="BE9" s="189"/>
      <c r="BF9" s="189"/>
      <c r="BG9" s="142">
        <f t="shared" si="25"/>
        <v>44168</v>
      </c>
      <c r="BH9" s="34">
        <f t="shared" si="26"/>
        <v>5</v>
      </c>
      <c r="BI9" s="35" t="str">
        <f t="shared" si="9"/>
        <v>Q</v>
      </c>
      <c r="BJ9" s="189"/>
      <c r="BK9" s="189"/>
      <c r="BL9" s="189"/>
      <c r="BM9" s="189"/>
      <c r="BN9" s="189"/>
      <c r="BO9" s="142">
        <f t="shared" si="27"/>
        <v>44258</v>
      </c>
      <c r="BP9" s="34">
        <f t="shared" si="28"/>
        <v>4</v>
      </c>
      <c r="BQ9" s="35" t="str">
        <f t="shared" si="10"/>
        <v>Q</v>
      </c>
      <c r="BR9" s="189"/>
      <c r="BS9" s="189"/>
      <c r="BT9" s="189"/>
      <c r="BU9" s="189"/>
      <c r="BV9" s="189"/>
      <c r="BW9" s="142">
        <f t="shared" si="29"/>
        <v>44380</v>
      </c>
      <c r="BX9" s="34">
        <f t="shared" si="30"/>
        <v>7</v>
      </c>
      <c r="BY9" s="35" t="str">
        <f t="shared" si="11"/>
        <v>S</v>
      </c>
      <c r="BZ9" s="189"/>
      <c r="CA9" s="189"/>
      <c r="CB9" s="189"/>
      <c r="CC9" s="189"/>
      <c r="CD9" s="189"/>
      <c r="CE9" s="142">
        <f t="shared" si="31"/>
        <v>44503</v>
      </c>
      <c r="CF9" s="34">
        <f t="shared" si="32"/>
        <v>4</v>
      </c>
      <c r="CG9" s="35" t="str">
        <f t="shared" si="12"/>
        <v>Q</v>
      </c>
      <c r="CH9" s="189"/>
      <c r="CI9" s="189"/>
      <c r="CJ9" s="189"/>
      <c r="CK9" s="189"/>
      <c r="CL9" s="189"/>
      <c r="CM9" s="142">
        <f t="shared" si="33"/>
        <v>44533</v>
      </c>
      <c r="CN9" s="34">
        <f t="shared" si="34"/>
        <v>6</v>
      </c>
      <c r="CO9" s="80" t="s">
        <v>109</v>
      </c>
      <c r="CQ9" s="207" t="s">
        <v>119</v>
      </c>
    </row>
    <row r="10" spans="1:95" s="80" customFormat="1" ht="20.25" customHeight="1" thickBot="1" x14ac:dyDescent="0.3">
      <c r="B10" s="32">
        <v>4</v>
      </c>
      <c r="C10" s="33">
        <f t="shared" si="13"/>
        <v>43955</v>
      </c>
      <c r="D10" s="143">
        <f t="shared" si="1"/>
        <v>2</v>
      </c>
      <c r="E10" s="147" t="str">
        <f t="shared" si="2"/>
        <v>S</v>
      </c>
      <c r="F10" s="189"/>
      <c r="G10" s="189"/>
      <c r="H10" s="189"/>
      <c r="I10" s="189"/>
      <c r="J10" s="189"/>
      <c r="K10" s="142">
        <f t="shared" si="14"/>
        <v>43986</v>
      </c>
      <c r="L10" s="34">
        <f t="shared" si="15"/>
        <v>5</v>
      </c>
      <c r="M10" s="35" t="str">
        <f t="shared" si="3"/>
        <v>Q</v>
      </c>
      <c r="N10" s="188"/>
      <c r="O10" s="188"/>
      <c r="P10" s="188"/>
      <c r="Q10" s="188"/>
      <c r="R10" s="188"/>
      <c r="S10" s="142">
        <f t="shared" si="16"/>
        <v>44016</v>
      </c>
      <c r="T10" s="34">
        <f t="shared" si="17"/>
        <v>7</v>
      </c>
      <c r="U10" s="35" t="str">
        <f t="shared" si="4"/>
        <v>S</v>
      </c>
      <c r="V10" s="189"/>
      <c r="W10" s="189"/>
      <c r="X10" s="189"/>
      <c r="Y10" s="189"/>
      <c r="Z10" s="189"/>
      <c r="AA10" s="142">
        <f t="shared" si="35"/>
        <v>44047</v>
      </c>
      <c r="AB10" s="34">
        <f t="shared" si="18"/>
        <v>3</v>
      </c>
      <c r="AC10" s="35" t="str">
        <f t="shared" si="5"/>
        <v>T</v>
      </c>
      <c r="AD10" s="188"/>
      <c r="AE10" s="188"/>
      <c r="AF10" s="188"/>
      <c r="AG10" s="188"/>
      <c r="AH10" s="189"/>
      <c r="AI10" s="142">
        <f t="shared" si="19"/>
        <v>44078</v>
      </c>
      <c r="AJ10" s="34">
        <f t="shared" si="20"/>
        <v>6</v>
      </c>
      <c r="AK10" s="35" t="str">
        <f t="shared" si="6"/>
        <v>S</v>
      </c>
      <c r="AL10" s="189"/>
      <c r="AM10" s="189"/>
      <c r="AN10" s="189"/>
      <c r="AO10" s="189"/>
      <c r="AP10" s="189"/>
      <c r="AQ10" s="142">
        <f t="shared" si="21"/>
        <v>44108</v>
      </c>
      <c r="AR10" s="34">
        <f t="shared" si="22"/>
        <v>1</v>
      </c>
      <c r="AS10" s="35" t="str">
        <f t="shared" si="7"/>
        <v>D</v>
      </c>
      <c r="AT10" s="189"/>
      <c r="AU10" s="189"/>
      <c r="AV10" s="189"/>
      <c r="AW10" s="189"/>
      <c r="AX10" s="189"/>
      <c r="AY10" s="142">
        <f t="shared" si="23"/>
        <v>44139</v>
      </c>
      <c r="AZ10" s="34">
        <f t="shared" si="24"/>
        <v>4</v>
      </c>
      <c r="BA10" s="35" t="str">
        <f t="shared" si="8"/>
        <v>Q</v>
      </c>
      <c r="BB10" s="189"/>
      <c r="BC10" s="189"/>
      <c r="BD10" s="189"/>
      <c r="BE10" s="189"/>
      <c r="BF10" s="189"/>
      <c r="BG10" s="142">
        <f t="shared" si="25"/>
        <v>44169</v>
      </c>
      <c r="BH10" s="34">
        <f t="shared" si="26"/>
        <v>6</v>
      </c>
      <c r="BI10" s="35" t="str">
        <f t="shared" si="9"/>
        <v>S</v>
      </c>
      <c r="BJ10" s="189"/>
      <c r="BK10" s="189"/>
      <c r="BL10" s="189"/>
      <c r="BM10" s="189"/>
      <c r="BN10" s="189"/>
      <c r="BO10" s="142">
        <f t="shared" si="27"/>
        <v>44259</v>
      </c>
      <c r="BP10" s="34">
        <f t="shared" si="28"/>
        <v>5</v>
      </c>
      <c r="BQ10" s="35" t="str">
        <f t="shared" si="10"/>
        <v>Q</v>
      </c>
      <c r="BR10" s="189"/>
      <c r="BS10" s="189"/>
      <c r="BT10" s="189"/>
      <c r="BU10" s="189"/>
      <c r="BV10" s="189"/>
      <c r="BW10" s="142">
        <f t="shared" si="29"/>
        <v>44381</v>
      </c>
      <c r="BX10" s="34">
        <f t="shared" si="30"/>
        <v>1</v>
      </c>
      <c r="BY10" s="35" t="str">
        <f t="shared" si="11"/>
        <v>D</v>
      </c>
      <c r="BZ10" s="189"/>
      <c r="CA10" s="189"/>
      <c r="CB10" s="189"/>
      <c r="CC10" s="189"/>
      <c r="CD10" s="189"/>
      <c r="CE10" s="142">
        <f t="shared" si="31"/>
        <v>44504</v>
      </c>
      <c r="CF10" s="34">
        <f t="shared" si="32"/>
        <v>5</v>
      </c>
      <c r="CG10" s="35" t="str">
        <f t="shared" si="12"/>
        <v>Q</v>
      </c>
      <c r="CH10" s="189"/>
      <c r="CI10" s="189"/>
      <c r="CJ10" s="189"/>
      <c r="CK10" s="189"/>
      <c r="CL10" s="189"/>
      <c r="CM10" s="142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thickBot="1" x14ac:dyDescent="0.3">
      <c r="B11" s="32">
        <v>5</v>
      </c>
      <c r="C11" s="33">
        <f t="shared" si="13"/>
        <v>43956</v>
      </c>
      <c r="D11" s="143">
        <f t="shared" si="1"/>
        <v>3</v>
      </c>
      <c r="E11" s="147" t="str">
        <f t="shared" si="2"/>
        <v>T</v>
      </c>
      <c r="F11" s="189"/>
      <c r="G11" s="189"/>
      <c r="H11" s="189"/>
      <c r="I11" s="189"/>
      <c r="J11" s="189"/>
      <c r="K11" s="142">
        <f t="shared" si="14"/>
        <v>43987</v>
      </c>
      <c r="L11" s="34">
        <f t="shared" si="15"/>
        <v>6</v>
      </c>
      <c r="M11" s="35" t="str">
        <f t="shared" si="3"/>
        <v>S</v>
      </c>
      <c r="N11" s="188"/>
      <c r="O11" s="188"/>
      <c r="P11" s="188"/>
      <c r="Q11" s="188"/>
      <c r="R11" s="188"/>
      <c r="S11" s="142">
        <f t="shared" si="16"/>
        <v>44017</v>
      </c>
      <c r="T11" s="34">
        <f t="shared" si="17"/>
        <v>1</v>
      </c>
      <c r="U11" s="35" t="str">
        <f t="shared" si="4"/>
        <v>D</v>
      </c>
      <c r="V11" s="188"/>
      <c r="W11" s="188"/>
      <c r="X11" s="188"/>
      <c r="Y11" s="188"/>
      <c r="Z11" s="188"/>
      <c r="AA11" s="142">
        <f t="shared" si="35"/>
        <v>44048</v>
      </c>
      <c r="AB11" s="34">
        <f t="shared" si="18"/>
        <v>4</v>
      </c>
      <c r="AC11" s="35" t="str">
        <f t="shared" si="5"/>
        <v>Q</v>
      </c>
      <c r="AD11" s="188"/>
      <c r="AE11" s="188"/>
      <c r="AF11" s="188"/>
      <c r="AG11" s="188"/>
      <c r="AH11" s="189"/>
      <c r="AI11" s="142">
        <f t="shared" si="19"/>
        <v>44079</v>
      </c>
      <c r="AJ11" s="34">
        <f t="shared" si="20"/>
        <v>7</v>
      </c>
      <c r="AK11" s="35" t="str">
        <f t="shared" si="6"/>
        <v>S</v>
      </c>
      <c r="AL11" s="189"/>
      <c r="AM11" s="189"/>
      <c r="AN11" s="189"/>
      <c r="AO11" s="189"/>
      <c r="AP11" s="189"/>
      <c r="AQ11" s="142">
        <f t="shared" si="21"/>
        <v>44109</v>
      </c>
      <c r="AR11" s="34">
        <f t="shared" si="22"/>
        <v>2</v>
      </c>
      <c r="AS11" s="35" t="str">
        <f t="shared" si="7"/>
        <v>S</v>
      </c>
      <c r="AT11" s="189"/>
      <c r="AU11" s="189"/>
      <c r="AV11" s="189"/>
      <c r="AW11" s="189"/>
      <c r="AX11" s="189"/>
      <c r="AY11" s="142">
        <f t="shared" si="23"/>
        <v>44140</v>
      </c>
      <c r="AZ11" s="34">
        <f t="shared" si="24"/>
        <v>5</v>
      </c>
      <c r="BA11" s="35" t="str">
        <f t="shared" si="8"/>
        <v>Q</v>
      </c>
      <c r="BB11" s="189"/>
      <c r="BC11" s="189"/>
      <c r="BD11" s="189"/>
      <c r="BE11" s="189"/>
      <c r="BF11" s="189"/>
      <c r="BG11" s="142">
        <f t="shared" si="25"/>
        <v>44170</v>
      </c>
      <c r="BH11" s="34">
        <f t="shared" si="26"/>
        <v>7</v>
      </c>
      <c r="BI11" s="35" t="str">
        <f t="shared" si="9"/>
        <v>S</v>
      </c>
      <c r="BJ11" s="189"/>
      <c r="BK11" s="189"/>
      <c r="BL11" s="189"/>
      <c r="BM11" s="189"/>
      <c r="BN11" s="189"/>
      <c r="BO11" s="142">
        <f t="shared" si="27"/>
        <v>44260</v>
      </c>
      <c r="BP11" s="34">
        <f t="shared" si="28"/>
        <v>6</v>
      </c>
      <c r="BQ11" s="35" t="str">
        <f t="shared" si="10"/>
        <v>S</v>
      </c>
      <c r="BR11" s="189"/>
      <c r="BS11" s="189"/>
      <c r="BT11" s="189"/>
      <c r="BU11" s="189"/>
      <c r="BV11" s="189"/>
      <c r="BW11" s="142">
        <f t="shared" si="29"/>
        <v>44382</v>
      </c>
      <c r="BX11" s="34">
        <f t="shared" si="30"/>
        <v>2</v>
      </c>
      <c r="BY11" s="35" t="str">
        <f t="shared" si="11"/>
        <v>S</v>
      </c>
      <c r="BZ11" s="189"/>
      <c r="CA11" s="189"/>
      <c r="CB11" s="189"/>
      <c r="CC11" s="189"/>
      <c r="CD11" s="189"/>
      <c r="CE11" s="142">
        <f t="shared" si="31"/>
        <v>44505</v>
      </c>
      <c r="CF11" s="34">
        <f t="shared" si="32"/>
        <v>6</v>
      </c>
      <c r="CG11" s="35" t="str">
        <f t="shared" si="12"/>
        <v>S</v>
      </c>
      <c r="CH11" s="189"/>
      <c r="CI11" s="189"/>
      <c r="CJ11" s="189"/>
      <c r="CK11" s="189"/>
      <c r="CL11" s="189"/>
      <c r="CM11" s="142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thickBot="1" x14ac:dyDescent="0.3">
      <c r="B12" s="32">
        <v>6</v>
      </c>
      <c r="C12" s="33">
        <f t="shared" si="13"/>
        <v>43957</v>
      </c>
      <c r="D12" s="143">
        <f t="shared" si="1"/>
        <v>4</v>
      </c>
      <c r="E12" s="147" t="str">
        <f t="shared" si="2"/>
        <v>Q</v>
      </c>
      <c r="F12" s="189"/>
      <c r="G12" s="189"/>
      <c r="H12" s="189"/>
      <c r="I12" s="189"/>
      <c r="J12" s="189"/>
      <c r="K12" s="142">
        <f t="shared" si="14"/>
        <v>43988</v>
      </c>
      <c r="L12" s="34">
        <f t="shared" si="15"/>
        <v>7</v>
      </c>
      <c r="M12" s="35" t="str">
        <f t="shared" si="3"/>
        <v>S</v>
      </c>
      <c r="N12" s="188"/>
      <c r="O12" s="188"/>
      <c r="P12" s="188"/>
      <c r="Q12" s="188"/>
      <c r="R12" s="188"/>
      <c r="S12" s="142">
        <f t="shared" si="16"/>
        <v>44018</v>
      </c>
      <c r="T12" s="34">
        <f t="shared" si="17"/>
        <v>2</v>
      </c>
      <c r="U12" s="35" t="str">
        <f t="shared" si="4"/>
        <v>S</v>
      </c>
      <c r="V12" s="188"/>
      <c r="W12" s="188"/>
      <c r="X12" s="188"/>
      <c r="Y12" s="188"/>
      <c r="Z12" s="188"/>
      <c r="AA12" s="142">
        <f t="shared" si="35"/>
        <v>44049</v>
      </c>
      <c r="AB12" s="34">
        <f t="shared" si="18"/>
        <v>5</v>
      </c>
      <c r="AC12" s="35" t="str">
        <f t="shared" si="5"/>
        <v>Q</v>
      </c>
      <c r="AD12" s="188"/>
      <c r="AE12" s="188"/>
      <c r="AF12" s="188"/>
      <c r="AG12" s="188"/>
      <c r="AH12" s="189"/>
      <c r="AI12" s="142">
        <f t="shared" si="19"/>
        <v>44080</v>
      </c>
      <c r="AJ12" s="34">
        <f t="shared" si="20"/>
        <v>1</v>
      </c>
      <c r="AK12" s="35" t="str">
        <f t="shared" si="6"/>
        <v>D</v>
      </c>
      <c r="AL12" s="189"/>
      <c r="AM12" s="189"/>
      <c r="AN12" s="189"/>
      <c r="AO12" s="189"/>
      <c r="AP12" s="189"/>
      <c r="AQ12" s="142">
        <f t="shared" si="21"/>
        <v>44110</v>
      </c>
      <c r="AR12" s="34">
        <f t="shared" si="22"/>
        <v>3</v>
      </c>
      <c r="AS12" s="35" t="str">
        <f t="shared" si="7"/>
        <v>T</v>
      </c>
      <c r="AT12" s="189"/>
      <c r="AU12" s="189"/>
      <c r="AV12" s="189"/>
      <c r="AW12" s="189"/>
      <c r="AX12" s="189"/>
      <c r="AY12" s="142">
        <f t="shared" si="23"/>
        <v>44141</v>
      </c>
      <c r="AZ12" s="34">
        <f t="shared" si="24"/>
        <v>6</v>
      </c>
      <c r="BA12" s="35" t="str">
        <f t="shared" si="8"/>
        <v>S</v>
      </c>
      <c r="BB12" s="189"/>
      <c r="BC12" s="189"/>
      <c r="BD12" s="189"/>
      <c r="BE12" s="189"/>
      <c r="BF12" s="189"/>
      <c r="BG12" s="142">
        <f t="shared" si="25"/>
        <v>44171</v>
      </c>
      <c r="BH12" s="34">
        <f t="shared" si="26"/>
        <v>1</v>
      </c>
      <c r="BI12" s="35" t="str">
        <f t="shared" si="9"/>
        <v>D</v>
      </c>
      <c r="BJ12" s="189"/>
      <c r="BK12" s="189"/>
      <c r="BL12" s="189"/>
      <c r="BM12" s="189"/>
      <c r="BN12" s="189"/>
      <c r="BO12" s="142">
        <f t="shared" si="27"/>
        <v>44261</v>
      </c>
      <c r="BP12" s="34">
        <f t="shared" si="28"/>
        <v>7</v>
      </c>
      <c r="BQ12" s="35" t="str">
        <f t="shared" si="10"/>
        <v>S</v>
      </c>
      <c r="BR12" s="189"/>
      <c r="BS12" s="189"/>
      <c r="BT12" s="189"/>
      <c r="BU12" s="189"/>
      <c r="BV12" s="189"/>
      <c r="BW12" s="142">
        <f t="shared" si="29"/>
        <v>44383</v>
      </c>
      <c r="BX12" s="34">
        <f t="shared" si="30"/>
        <v>3</v>
      </c>
      <c r="BY12" s="35" t="str">
        <f t="shared" si="11"/>
        <v>T</v>
      </c>
      <c r="BZ12" s="189"/>
      <c r="CA12" s="189"/>
      <c r="CB12" s="189"/>
      <c r="CC12" s="189"/>
      <c r="CD12" s="189"/>
      <c r="CE12" s="142">
        <f t="shared" si="31"/>
        <v>44506</v>
      </c>
      <c r="CF12" s="34">
        <f t="shared" si="32"/>
        <v>7</v>
      </c>
      <c r="CG12" s="35" t="str">
        <f t="shared" si="12"/>
        <v>S</v>
      </c>
      <c r="CH12" s="189"/>
      <c r="CI12" s="189"/>
      <c r="CJ12" s="189"/>
      <c r="CK12" s="189"/>
      <c r="CL12" s="189"/>
      <c r="CM12" s="142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thickBot="1" x14ac:dyDescent="0.3">
      <c r="B13" s="32">
        <v>7</v>
      </c>
      <c r="C13" s="33">
        <f t="shared" si="13"/>
        <v>43958</v>
      </c>
      <c r="D13" s="143">
        <f t="shared" si="1"/>
        <v>5</v>
      </c>
      <c r="E13" s="147" t="str">
        <f t="shared" si="2"/>
        <v>Q</v>
      </c>
      <c r="F13" s="189"/>
      <c r="G13" s="189"/>
      <c r="H13" s="189"/>
      <c r="I13" s="189"/>
      <c r="J13" s="189"/>
      <c r="K13" s="142">
        <f t="shared" si="14"/>
        <v>43989</v>
      </c>
      <c r="L13" s="34">
        <f t="shared" si="15"/>
        <v>1</v>
      </c>
      <c r="M13" s="35" t="str">
        <f t="shared" si="3"/>
        <v>D</v>
      </c>
      <c r="N13" s="188"/>
      <c r="O13" s="188"/>
      <c r="P13" s="188"/>
      <c r="Q13" s="188"/>
      <c r="R13" s="188"/>
      <c r="S13" s="142">
        <f t="shared" si="16"/>
        <v>44019</v>
      </c>
      <c r="T13" s="34">
        <f t="shared" si="17"/>
        <v>3</v>
      </c>
      <c r="U13" s="35" t="str">
        <f t="shared" si="4"/>
        <v>T</v>
      </c>
      <c r="V13" s="188"/>
      <c r="W13" s="188"/>
      <c r="X13" s="188"/>
      <c r="Y13" s="188"/>
      <c r="Z13" s="188"/>
      <c r="AA13" s="142">
        <f t="shared" si="35"/>
        <v>44050</v>
      </c>
      <c r="AB13" s="34">
        <f t="shared" si="18"/>
        <v>6</v>
      </c>
      <c r="AC13" s="35" t="str">
        <f t="shared" si="5"/>
        <v>S</v>
      </c>
      <c r="AD13" s="188"/>
      <c r="AE13" s="188"/>
      <c r="AF13" s="188"/>
      <c r="AG13" s="188"/>
      <c r="AH13" s="189"/>
      <c r="AI13" s="142">
        <f t="shared" si="19"/>
        <v>44081</v>
      </c>
      <c r="AJ13" s="34">
        <f t="shared" si="20"/>
        <v>2</v>
      </c>
      <c r="AK13" s="35" t="str">
        <f t="shared" si="6"/>
        <v>S</v>
      </c>
      <c r="AL13" s="189"/>
      <c r="AM13" s="189"/>
      <c r="AN13" s="189"/>
      <c r="AO13" s="189"/>
      <c r="AP13" s="189"/>
      <c r="AQ13" s="142">
        <f t="shared" si="21"/>
        <v>44111</v>
      </c>
      <c r="AR13" s="34">
        <f t="shared" si="22"/>
        <v>4</v>
      </c>
      <c r="AS13" s="35" t="str">
        <f t="shared" si="7"/>
        <v>Q</v>
      </c>
      <c r="AT13" s="189"/>
      <c r="AU13" s="189"/>
      <c r="AV13" s="189"/>
      <c r="AW13" s="189"/>
      <c r="AX13" s="189"/>
      <c r="AY13" s="142">
        <f t="shared" si="23"/>
        <v>44142</v>
      </c>
      <c r="AZ13" s="34">
        <f t="shared" si="24"/>
        <v>7</v>
      </c>
      <c r="BA13" s="35" t="str">
        <f t="shared" si="8"/>
        <v>S</v>
      </c>
      <c r="BB13" s="189"/>
      <c r="BC13" s="189"/>
      <c r="BD13" s="189"/>
      <c r="BE13" s="189"/>
      <c r="BF13" s="189"/>
      <c r="BG13" s="142">
        <f t="shared" si="25"/>
        <v>44172</v>
      </c>
      <c r="BH13" s="34">
        <f t="shared" si="26"/>
        <v>2</v>
      </c>
      <c r="BI13" s="35" t="str">
        <f t="shared" si="9"/>
        <v>S</v>
      </c>
      <c r="BJ13" s="189"/>
      <c r="BK13" s="189"/>
      <c r="BL13" s="189"/>
      <c r="BM13" s="189"/>
      <c r="BN13" s="189"/>
      <c r="BO13" s="142">
        <f t="shared" si="27"/>
        <v>44262</v>
      </c>
      <c r="BP13" s="34">
        <f t="shared" si="28"/>
        <v>1</v>
      </c>
      <c r="BQ13" s="35" t="str">
        <f t="shared" si="10"/>
        <v>D</v>
      </c>
      <c r="BR13" s="189"/>
      <c r="BS13" s="189"/>
      <c r="BT13" s="189"/>
      <c r="BU13" s="189"/>
      <c r="BV13" s="189"/>
      <c r="BW13" s="142">
        <f t="shared" si="29"/>
        <v>44384</v>
      </c>
      <c r="BX13" s="34">
        <f t="shared" si="30"/>
        <v>4</v>
      </c>
      <c r="BY13" s="35" t="str">
        <f t="shared" si="11"/>
        <v>Q</v>
      </c>
      <c r="BZ13" s="189"/>
      <c r="CA13" s="189"/>
      <c r="CB13" s="189"/>
      <c r="CC13" s="189"/>
      <c r="CD13" s="189"/>
      <c r="CE13" s="142">
        <f t="shared" si="31"/>
        <v>44507</v>
      </c>
      <c r="CF13" s="34">
        <f t="shared" si="32"/>
        <v>1</v>
      </c>
      <c r="CG13" s="35" t="str">
        <f t="shared" si="12"/>
        <v>D</v>
      </c>
      <c r="CH13" s="189"/>
      <c r="CI13" s="189"/>
      <c r="CJ13" s="189"/>
      <c r="CK13" s="189"/>
      <c r="CL13" s="189"/>
      <c r="CM13" s="142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thickBot="1" x14ac:dyDescent="0.3">
      <c r="B14" s="32">
        <v>8</v>
      </c>
      <c r="C14" s="33">
        <f t="shared" si="13"/>
        <v>43959</v>
      </c>
      <c r="D14" s="143">
        <f t="shared" si="1"/>
        <v>6</v>
      </c>
      <c r="E14" s="147" t="str">
        <f t="shared" si="2"/>
        <v>S</v>
      </c>
      <c r="F14" s="189"/>
      <c r="G14" s="190"/>
      <c r="H14" s="189"/>
      <c r="I14" s="190"/>
      <c r="J14" s="189"/>
      <c r="K14" s="142">
        <f t="shared" si="14"/>
        <v>43990</v>
      </c>
      <c r="L14" s="34">
        <f t="shared" si="15"/>
        <v>2</v>
      </c>
      <c r="M14" s="35" t="str">
        <f t="shared" si="3"/>
        <v>S</v>
      </c>
      <c r="N14" s="188"/>
      <c r="O14" s="188"/>
      <c r="P14" s="188"/>
      <c r="Q14" s="188"/>
      <c r="R14" s="188"/>
      <c r="S14" s="142">
        <f t="shared" si="16"/>
        <v>44020</v>
      </c>
      <c r="T14" s="34">
        <f t="shared" si="17"/>
        <v>4</v>
      </c>
      <c r="U14" s="35" t="str">
        <f t="shared" si="4"/>
        <v>Q</v>
      </c>
      <c r="V14" s="188"/>
      <c r="W14" s="188"/>
      <c r="X14" s="188"/>
      <c r="Y14" s="188"/>
      <c r="Z14" s="188"/>
      <c r="AA14" s="142">
        <f t="shared" si="35"/>
        <v>44051</v>
      </c>
      <c r="AB14" s="34">
        <f t="shared" si="18"/>
        <v>7</v>
      </c>
      <c r="AC14" s="35" t="str">
        <f t="shared" si="5"/>
        <v>S</v>
      </c>
      <c r="AD14" s="188"/>
      <c r="AE14" s="188"/>
      <c r="AF14" s="188"/>
      <c r="AG14" s="188"/>
      <c r="AH14" s="189"/>
      <c r="AI14" s="142">
        <f t="shared" si="19"/>
        <v>44082</v>
      </c>
      <c r="AJ14" s="34">
        <f t="shared" si="20"/>
        <v>3</v>
      </c>
      <c r="AK14" s="35" t="str">
        <f t="shared" si="6"/>
        <v>T</v>
      </c>
      <c r="AL14" s="189"/>
      <c r="AM14" s="190"/>
      <c r="AN14" s="189"/>
      <c r="AO14" s="190"/>
      <c r="AP14" s="189"/>
      <c r="AQ14" s="142">
        <f t="shared" si="21"/>
        <v>44112</v>
      </c>
      <c r="AR14" s="34">
        <f t="shared" si="22"/>
        <v>5</v>
      </c>
      <c r="AS14" s="35" t="str">
        <f t="shared" si="7"/>
        <v>Q</v>
      </c>
      <c r="AT14" s="189"/>
      <c r="AU14" s="190"/>
      <c r="AW14" s="189"/>
      <c r="AX14" s="189"/>
      <c r="AY14" s="142">
        <f t="shared" si="23"/>
        <v>44143</v>
      </c>
      <c r="AZ14" s="34">
        <f t="shared" si="24"/>
        <v>1</v>
      </c>
      <c r="BA14" s="35" t="str">
        <f t="shared" si="8"/>
        <v>D</v>
      </c>
      <c r="BB14" s="189"/>
      <c r="BC14" s="190"/>
      <c r="BD14" s="189"/>
      <c r="BE14" s="190"/>
      <c r="BF14" s="189"/>
      <c r="BG14" s="142">
        <f t="shared" si="25"/>
        <v>44173</v>
      </c>
      <c r="BH14" s="34">
        <f t="shared" si="26"/>
        <v>3</v>
      </c>
      <c r="BI14" s="35" t="str">
        <f t="shared" si="9"/>
        <v>T</v>
      </c>
      <c r="BJ14" s="189"/>
      <c r="BK14" s="190"/>
      <c r="BL14" s="189"/>
      <c r="BM14" s="190"/>
      <c r="BN14" s="189"/>
      <c r="BO14" s="142">
        <f t="shared" si="27"/>
        <v>44263</v>
      </c>
      <c r="BP14" s="34">
        <f t="shared" si="28"/>
        <v>2</v>
      </c>
      <c r="BQ14" s="35" t="str">
        <f t="shared" si="10"/>
        <v>S</v>
      </c>
      <c r="BR14" s="189"/>
      <c r="BS14" s="190"/>
      <c r="BT14" s="189"/>
      <c r="BU14" s="190"/>
      <c r="BV14" s="189"/>
      <c r="BW14" s="142">
        <f t="shared" si="29"/>
        <v>44385</v>
      </c>
      <c r="BX14" s="34">
        <f t="shared" si="30"/>
        <v>5</v>
      </c>
      <c r="BY14" s="35" t="str">
        <f t="shared" si="11"/>
        <v>Q</v>
      </c>
      <c r="BZ14" s="189"/>
      <c r="CA14" s="190"/>
      <c r="CB14" s="189"/>
      <c r="CC14" s="190"/>
      <c r="CD14" s="189"/>
      <c r="CE14" s="142">
        <f t="shared" si="31"/>
        <v>44508</v>
      </c>
      <c r="CF14" s="34">
        <f t="shared" si="32"/>
        <v>2</v>
      </c>
      <c r="CG14" s="35" t="str">
        <f t="shared" si="12"/>
        <v>S</v>
      </c>
      <c r="CH14" s="189"/>
      <c r="CI14" s="190"/>
      <c r="CJ14" s="189"/>
      <c r="CK14" s="190"/>
      <c r="CL14" s="189"/>
      <c r="CM14" s="142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thickBot="1" x14ac:dyDescent="0.3">
      <c r="B15" s="32">
        <v>9</v>
      </c>
      <c r="C15" s="33">
        <f t="shared" si="13"/>
        <v>43960</v>
      </c>
      <c r="D15" s="143">
        <f t="shared" si="1"/>
        <v>7</v>
      </c>
      <c r="E15" s="147" t="str">
        <f t="shared" si="2"/>
        <v>S</v>
      </c>
      <c r="F15" s="189"/>
      <c r="G15" s="189"/>
      <c r="H15" s="189"/>
      <c r="I15" s="189"/>
      <c r="J15" s="189"/>
      <c r="K15" s="142">
        <f t="shared" si="14"/>
        <v>43991</v>
      </c>
      <c r="L15" s="34">
        <f t="shared" si="15"/>
        <v>3</v>
      </c>
      <c r="M15" s="35" t="str">
        <f t="shared" si="3"/>
        <v>T</v>
      </c>
      <c r="N15" s="188"/>
      <c r="O15" s="188"/>
      <c r="P15" s="188"/>
      <c r="Q15" s="188"/>
      <c r="R15" s="188"/>
      <c r="S15" s="142">
        <f t="shared" si="16"/>
        <v>44021</v>
      </c>
      <c r="T15" s="34">
        <f t="shared" si="17"/>
        <v>5</v>
      </c>
      <c r="U15" s="35" t="str">
        <f t="shared" si="4"/>
        <v>Q</v>
      </c>
      <c r="V15" s="188"/>
      <c r="W15" s="188"/>
      <c r="X15" s="188"/>
      <c r="Y15" s="188"/>
      <c r="Z15" s="188"/>
      <c r="AA15" s="142">
        <f t="shared" si="35"/>
        <v>44052</v>
      </c>
      <c r="AB15" s="34">
        <f t="shared" si="18"/>
        <v>1</v>
      </c>
      <c r="AC15" s="35" t="str">
        <f t="shared" si="5"/>
        <v>D</v>
      </c>
      <c r="AD15" s="188"/>
      <c r="AE15" s="188"/>
      <c r="AF15" s="188"/>
      <c r="AG15" s="188"/>
      <c r="AH15" s="189"/>
      <c r="AI15" s="142">
        <f t="shared" si="19"/>
        <v>44083</v>
      </c>
      <c r="AJ15" s="34">
        <f t="shared" si="20"/>
        <v>4</v>
      </c>
      <c r="AK15" s="35" t="str">
        <f t="shared" si="6"/>
        <v>Q</v>
      </c>
      <c r="AL15" s="189"/>
      <c r="AM15" s="189"/>
      <c r="AN15" s="189"/>
      <c r="AO15" s="189"/>
      <c r="AP15" s="189"/>
      <c r="AQ15" s="142">
        <f t="shared" si="21"/>
        <v>44113</v>
      </c>
      <c r="AR15" s="34">
        <f t="shared" si="22"/>
        <v>6</v>
      </c>
      <c r="AS15" s="35" t="str">
        <f t="shared" si="7"/>
        <v>S</v>
      </c>
      <c r="AT15" s="189"/>
      <c r="AU15" s="189"/>
      <c r="AV15" s="189"/>
      <c r="AW15" s="189"/>
      <c r="AX15" s="189"/>
      <c r="AY15" s="142">
        <f t="shared" si="23"/>
        <v>44144</v>
      </c>
      <c r="AZ15" s="34">
        <f t="shared" si="24"/>
        <v>2</v>
      </c>
      <c r="BA15" s="35" t="str">
        <f t="shared" si="8"/>
        <v>S</v>
      </c>
      <c r="BB15" s="189"/>
      <c r="BC15" s="189"/>
      <c r="BD15" s="189"/>
      <c r="BE15" s="189"/>
      <c r="BF15" s="189"/>
      <c r="BG15" s="142">
        <f t="shared" si="25"/>
        <v>44174</v>
      </c>
      <c r="BH15" s="34">
        <f t="shared" si="26"/>
        <v>4</v>
      </c>
      <c r="BI15" s="35" t="str">
        <f t="shared" si="9"/>
        <v>Q</v>
      </c>
      <c r="BJ15" s="189"/>
      <c r="BK15" s="189"/>
      <c r="BL15" s="189"/>
      <c r="BM15" s="189"/>
      <c r="BN15" s="189"/>
      <c r="BO15" s="142">
        <f t="shared" si="27"/>
        <v>44264</v>
      </c>
      <c r="BP15" s="34">
        <f t="shared" si="28"/>
        <v>3</v>
      </c>
      <c r="BQ15" s="35" t="str">
        <f t="shared" si="10"/>
        <v>T</v>
      </c>
      <c r="BR15" s="189"/>
      <c r="BS15" s="189"/>
      <c r="BT15" s="189"/>
      <c r="BU15" s="189"/>
      <c r="BV15" s="189"/>
      <c r="BW15" s="142">
        <f t="shared" si="29"/>
        <v>44386</v>
      </c>
      <c r="BX15" s="34">
        <f t="shared" si="30"/>
        <v>6</v>
      </c>
      <c r="BY15" s="35" t="str">
        <f t="shared" si="11"/>
        <v>S</v>
      </c>
      <c r="BZ15" s="189"/>
      <c r="CA15" s="189"/>
      <c r="CB15" s="189"/>
      <c r="CC15" s="189"/>
      <c r="CD15" s="189"/>
      <c r="CE15" s="142">
        <f t="shared" si="31"/>
        <v>44509</v>
      </c>
      <c r="CF15" s="34">
        <f t="shared" si="32"/>
        <v>3</v>
      </c>
      <c r="CG15" s="35" t="str">
        <f t="shared" si="12"/>
        <v>T</v>
      </c>
      <c r="CH15" s="189"/>
      <c r="CI15" s="189"/>
      <c r="CJ15" s="189"/>
      <c r="CK15" s="189"/>
      <c r="CL15" s="189"/>
      <c r="CM15" s="142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thickBot="1" x14ac:dyDescent="0.3">
      <c r="B16" s="32">
        <v>10</v>
      </c>
      <c r="C16" s="33">
        <f t="shared" si="13"/>
        <v>43961</v>
      </c>
      <c r="D16" s="143">
        <f t="shared" si="1"/>
        <v>1</v>
      </c>
      <c r="E16" s="147" t="str">
        <f t="shared" si="2"/>
        <v>D</v>
      </c>
      <c r="F16" s="189"/>
      <c r="G16" s="189"/>
      <c r="H16" s="189"/>
      <c r="I16" s="189"/>
      <c r="J16" s="189"/>
      <c r="K16" s="142">
        <f t="shared" si="14"/>
        <v>43992</v>
      </c>
      <c r="L16" s="34">
        <f t="shared" si="15"/>
        <v>4</v>
      </c>
      <c r="M16" s="35" t="str">
        <f t="shared" si="3"/>
        <v>Q</v>
      </c>
      <c r="N16" s="188"/>
      <c r="O16" s="188"/>
      <c r="P16" s="188"/>
      <c r="Q16" s="188"/>
      <c r="R16" s="188"/>
      <c r="S16" s="142">
        <f t="shared" si="16"/>
        <v>44022</v>
      </c>
      <c r="T16" s="34">
        <f t="shared" si="17"/>
        <v>6</v>
      </c>
      <c r="U16" s="35" t="str">
        <f t="shared" si="4"/>
        <v>S</v>
      </c>
      <c r="V16" s="188"/>
      <c r="W16" s="188"/>
      <c r="X16" s="188"/>
      <c r="Y16" s="188"/>
      <c r="Z16" s="188"/>
      <c r="AA16" s="142">
        <f t="shared" si="35"/>
        <v>44053</v>
      </c>
      <c r="AB16" s="34">
        <f t="shared" si="18"/>
        <v>2</v>
      </c>
      <c r="AC16" s="35" t="str">
        <f t="shared" si="5"/>
        <v>S</v>
      </c>
      <c r="AD16" s="188"/>
      <c r="AE16" s="188"/>
      <c r="AF16" s="188"/>
      <c r="AG16" s="188"/>
      <c r="AH16" s="189"/>
      <c r="AI16" s="142">
        <f t="shared" si="19"/>
        <v>44084</v>
      </c>
      <c r="AJ16" s="34">
        <f t="shared" si="20"/>
        <v>5</v>
      </c>
      <c r="AK16" s="35" t="str">
        <f t="shared" si="6"/>
        <v>Q</v>
      </c>
      <c r="AL16" s="189"/>
      <c r="AM16" s="189"/>
      <c r="AN16" s="189"/>
      <c r="AO16" s="189"/>
      <c r="AP16" s="189"/>
      <c r="AQ16" s="142">
        <f t="shared" si="21"/>
        <v>44114</v>
      </c>
      <c r="AR16" s="34">
        <f t="shared" si="22"/>
        <v>7</v>
      </c>
      <c r="AS16" s="35" t="str">
        <f t="shared" si="7"/>
        <v>S</v>
      </c>
      <c r="AT16" s="189"/>
      <c r="AU16" s="189"/>
      <c r="AV16" s="189"/>
      <c r="AW16" s="189"/>
      <c r="AX16" s="189"/>
      <c r="AY16" s="142">
        <f t="shared" si="23"/>
        <v>44145</v>
      </c>
      <c r="AZ16" s="34">
        <f t="shared" si="24"/>
        <v>3</v>
      </c>
      <c r="BA16" s="35" t="str">
        <f t="shared" si="8"/>
        <v>T</v>
      </c>
      <c r="BB16" s="189"/>
      <c r="BC16" s="189"/>
      <c r="BD16" s="189"/>
      <c r="BE16" s="189"/>
      <c r="BF16" s="189"/>
      <c r="BG16" s="142">
        <f t="shared" si="25"/>
        <v>44175</v>
      </c>
      <c r="BH16" s="34">
        <f t="shared" si="26"/>
        <v>5</v>
      </c>
      <c r="BI16" s="35" t="str">
        <f t="shared" si="9"/>
        <v>Q</v>
      </c>
      <c r="BJ16" s="189"/>
      <c r="BK16" s="189"/>
      <c r="BL16" s="189"/>
      <c r="BM16" s="189"/>
      <c r="BN16" s="189"/>
      <c r="BO16" s="142">
        <f t="shared" si="27"/>
        <v>44265</v>
      </c>
      <c r="BP16" s="34">
        <f t="shared" si="28"/>
        <v>4</v>
      </c>
      <c r="BQ16" s="35" t="str">
        <f t="shared" si="10"/>
        <v>Q</v>
      </c>
      <c r="BR16" s="189"/>
      <c r="BS16" s="189"/>
      <c r="BT16" s="189"/>
      <c r="BU16" s="189"/>
      <c r="BV16" s="189"/>
      <c r="BW16" s="142">
        <f t="shared" si="29"/>
        <v>44387</v>
      </c>
      <c r="BX16" s="34">
        <f t="shared" si="30"/>
        <v>7</v>
      </c>
      <c r="BY16" s="35" t="str">
        <f t="shared" si="11"/>
        <v>S</v>
      </c>
      <c r="BZ16" s="189"/>
      <c r="CA16" s="189"/>
      <c r="CB16" s="189"/>
      <c r="CC16" s="189"/>
      <c r="CD16" s="189"/>
      <c r="CE16" s="142">
        <f t="shared" si="31"/>
        <v>44510</v>
      </c>
      <c r="CF16" s="34">
        <f t="shared" si="32"/>
        <v>4</v>
      </c>
      <c r="CG16" s="35" t="str">
        <f t="shared" si="12"/>
        <v>Q</v>
      </c>
      <c r="CH16" s="189"/>
      <c r="CI16" s="189"/>
      <c r="CJ16" s="189"/>
      <c r="CK16" s="189"/>
      <c r="CL16" s="189"/>
      <c r="CM16" s="142">
        <f t="shared" si="33"/>
        <v>44540</v>
      </c>
      <c r="CN16" s="34">
        <f t="shared" si="34"/>
        <v>6</v>
      </c>
      <c r="CO16" s="80" t="s">
        <v>109</v>
      </c>
    </row>
    <row r="17" spans="2:93" s="80" customFormat="1" ht="20.25" customHeight="1" thickBot="1" x14ac:dyDescent="0.3">
      <c r="B17" s="32">
        <v>11</v>
      </c>
      <c r="C17" s="33">
        <f t="shared" si="13"/>
        <v>43962</v>
      </c>
      <c r="D17" s="143">
        <f t="shared" si="1"/>
        <v>2</v>
      </c>
      <c r="E17" s="147" t="str">
        <f t="shared" si="2"/>
        <v>S</v>
      </c>
      <c r="F17" s="189"/>
      <c r="G17" s="189"/>
      <c r="H17" s="189"/>
      <c r="I17" s="189"/>
      <c r="J17" s="189"/>
      <c r="K17" s="142">
        <f t="shared" si="14"/>
        <v>43993</v>
      </c>
      <c r="L17" s="34">
        <f t="shared" si="15"/>
        <v>5</v>
      </c>
      <c r="M17" s="35" t="str">
        <f t="shared" si="3"/>
        <v>Q</v>
      </c>
      <c r="N17" s="188"/>
      <c r="O17" s="188"/>
      <c r="P17" s="188"/>
      <c r="Q17" s="188"/>
      <c r="R17" s="188"/>
      <c r="S17" s="142">
        <f t="shared" si="16"/>
        <v>44023</v>
      </c>
      <c r="T17" s="34">
        <f t="shared" si="17"/>
        <v>7</v>
      </c>
      <c r="U17" s="35" t="str">
        <f t="shared" si="4"/>
        <v>S</v>
      </c>
      <c r="V17" s="188"/>
      <c r="W17" s="188"/>
      <c r="X17" s="188"/>
      <c r="Y17" s="188"/>
      <c r="Z17" s="188"/>
      <c r="AA17" s="142">
        <f t="shared" si="35"/>
        <v>44054</v>
      </c>
      <c r="AB17" s="34">
        <f t="shared" si="18"/>
        <v>3</v>
      </c>
      <c r="AC17" s="35" t="str">
        <f t="shared" si="5"/>
        <v>T</v>
      </c>
      <c r="AD17" s="188"/>
      <c r="AE17" s="188"/>
      <c r="AF17" s="188"/>
      <c r="AG17" s="188"/>
      <c r="AH17" s="189"/>
      <c r="AI17" s="142">
        <f t="shared" si="19"/>
        <v>44085</v>
      </c>
      <c r="AJ17" s="34">
        <f t="shared" si="20"/>
        <v>6</v>
      </c>
      <c r="AK17" s="35" t="str">
        <f t="shared" si="6"/>
        <v>S</v>
      </c>
      <c r="AL17" s="189"/>
      <c r="AM17" s="189"/>
      <c r="AN17" s="189"/>
      <c r="AO17" s="189"/>
      <c r="AP17" s="189"/>
      <c r="AQ17" s="142">
        <f t="shared" si="21"/>
        <v>44115</v>
      </c>
      <c r="AR17" s="34">
        <f t="shared" si="22"/>
        <v>1</v>
      </c>
      <c r="AS17" s="35" t="str">
        <f t="shared" si="7"/>
        <v>D</v>
      </c>
      <c r="AT17" s="189"/>
      <c r="AU17" s="189"/>
      <c r="AV17" s="189"/>
      <c r="AW17" s="189"/>
      <c r="AX17" s="189"/>
      <c r="AY17" s="142">
        <f t="shared" si="23"/>
        <v>44146</v>
      </c>
      <c r="AZ17" s="34">
        <f t="shared" si="24"/>
        <v>4</v>
      </c>
      <c r="BA17" s="35" t="str">
        <f t="shared" si="8"/>
        <v>Q</v>
      </c>
      <c r="BB17" s="189"/>
      <c r="BC17" s="189"/>
      <c r="BD17" s="189"/>
      <c r="BE17" s="189"/>
      <c r="BF17" s="189"/>
      <c r="BG17" s="142">
        <f t="shared" si="25"/>
        <v>44176</v>
      </c>
      <c r="BH17" s="34">
        <f t="shared" si="26"/>
        <v>6</v>
      </c>
      <c r="BI17" s="35" t="str">
        <f t="shared" si="9"/>
        <v>S</v>
      </c>
      <c r="BJ17" s="189"/>
      <c r="BK17" s="189"/>
      <c r="BL17" s="189"/>
      <c r="BM17" s="189"/>
      <c r="BN17" s="189"/>
      <c r="BO17" s="142">
        <f t="shared" si="27"/>
        <v>44266</v>
      </c>
      <c r="BP17" s="34">
        <f t="shared" si="28"/>
        <v>5</v>
      </c>
      <c r="BQ17" s="35" t="str">
        <f t="shared" si="10"/>
        <v>Q</v>
      </c>
      <c r="BR17" s="189"/>
      <c r="BS17" s="189"/>
      <c r="BT17" s="189"/>
      <c r="BU17" s="189"/>
      <c r="BV17" s="189"/>
      <c r="BW17" s="142">
        <f t="shared" si="29"/>
        <v>44388</v>
      </c>
      <c r="BX17" s="34">
        <f t="shared" si="30"/>
        <v>1</v>
      </c>
      <c r="BY17" s="35" t="str">
        <f t="shared" si="11"/>
        <v>D</v>
      </c>
      <c r="BZ17" s="189"/>
      <c r="CA17" s="189"/>
      <c r="CB17" s="189"/>
      <c r="CC17" s="189"/>
      <c r="CD17" s="189"/>
      <c r="CE17" s="142">
        <f t="shared" si="31"/>
        <v>44511</v>
      </c>
      <c r="CF17" s="34">
        <f t="shared" si="32"/>
        <v>5</v>
      </c>
      <c r="CG17" s="35" t="str">
        <f t="shared" si="12"/>
        <v>Q</v>
      </c>
      <c r="CH17" s="189"/>
      <c r="CI17" s="189"/>
      <c r="CJ17" s="189"/>
      <c r="CK17" s="189"/>
      <c r="CL17" s="189"/>
      <c r="CM17" s="142">
        <f t="shared" si="33"/>
        <v>44541</v>
      </c>
      <c r="CN17" s="34">
        <f t="shared" si="34"/>
        <v>7</v>
      </c>
      <c r="CO17" s="80" t="s">
        <v>109</v>
      </c>
    </row>
    <row r="18" spans="2:93" s="80" customFormat="1" ht="20.25" customHeight="1" thickBot="1" x14ac:dyDescent="0.3">
      <c r="B18" s="32">
        <v>12</v>
      </c>
      <c r="C18" s="33">
        <f t="shared" si="13"/>
        <v>43963</v>
      </c>
      <c r="D18" s="143">
        <f t="shared" si="1"/>
        <v>3</v>
      </c>
      <c r="E18" s="147" t="str">
        <f t="shared" si="2"/>
        <v>T</v>
      </c>
      <c r="F18" s="189"/>
      <c r="G18" s="189"/>
      <c r="H18" s="189"/>
      <c r="I18" s="189"/>
      <c r="J18" s="189"/>
      <c r="K18" s="142">
        <f t="shared" si="14"/>
        <v>43994</v>
      </c>
      <c r="L18" s="34">
        <f t="shared" si="15"/>
        <v>6</v>
      </c>
      <c r="M18" s="35" t="str">
        <f t="shared" si="3"/>
        <v>S</v>
      </c>
      <c r="N18" s="188"/>
      <c r="O18" s="188"/>
      <c r="P18" s="188"/>
      <c r="Q18" s="188"/>
      <c r="R18" s="188"/>
      <c r="S18" s="142">
        <f t="shared" si="16"/>
        <v>44024</v>
      </c>
      <c r="T18" s="34">
        <f t="shared" si="17"/>
        <v>1</v>
      </c>
      <c r="U18" s="35" t="str">
        <f t="shared" si="4"/>
        <v>D</v>
      </c>
      <c r="V18" s="188"/>
      <c r="W18" s="188"/>
      <c r="X18" s="188"/>
      <c r="Y18" s="188"/>
      <c r="Z18" s="188"/>
      <c r="AA18" s="142">
        <f t="shared" si="35"/>
        <v>44055</v>
      </c>
      <c r="AB18" s="34">
        <f t="shared" si="18"/>
        <v>4</v>
      </c>
      <c r="AC18" s="35" t="str">
        <f t="shared" si="5"/>
        <v>Q</v>
      </c>
      <c r="AD18" s="188"/>
      <c r="AE18" s="188"/>
      <c r="AF18" s="188"/>
      <c r="AG18" s="188"/>
      <c r="AH18" s="189"/>
      <c r="AI18" s="142">
        <f t="shared" si="19"/>
        <v>44086</v>
      </c>
      <c r="AJ18" s="34">
        <f t="shared" si="20"/>
        <v>7</v>
      </c>
      <c r="AK18" s="35" t="str">
        <f t="shared" si="6"/>
        <v>S</v>
      </c>
      <c r="AL18" s="189"/>
      <c r="AM18" s="189"/>
      <c r="AN18" s="189"/>
      <c r="AO18" s="189"/>
      <c r="AP18" s="189"/>
      <c r="AQ18" s="142">
        <f t="shared" si="21"/>
        <v>44116</v>
      </c>
      <c r="AR18" s="34">
        <f t="shared" si="22"/>
        <v>2</v>
      </c>
      <c r="AS18" s="35" t="str">
        <f t="shared" si="7"/>
        <v>S</v>
      </c>
      <c r="AT18" s="189"/>
      <c r="AU18" s="189"/>
      <c r="AV18" s="189"/>
      <c r="AW18" s="189"/>
      <c r="AX18" s="189"/>
      <c r="AY18" s="142">
        <f t="shared" si="23"/>
        <v>44147</v>
      </c>
      <c r="AZ18" s="34">
        <f t="shared" si="24"/>
        <v>5</v>
      </c>
      <c r="BA18" s="35" t="str">
        <f t="shared" si="8"/>
        <v>Q</v>
      </c>
      <c r="BB18" s="189"/>
      <c r="BC18" s="189"/>
      <c r="BD18" s="189"/>
      <c r="BE18" s="189"/>
      <c r="BF18" s="189"/>
      <c r="BG18" s="142">
        <f t="shared" si="25"/>
        <v>44177</v>
      </c>
      <c r="BH18" s="34">
        <f t="shared" si="26"/>
        <v>7</v>
      </c>
      <c r="BI18" s="35" t="str">
        <f t="shared" si="9"/>
        <v>S</v>
      </c>
      <c r="BJ18" s="189"/>
      <c r="BK18" s="189"/>
      <c r="BL18" s="189"/>
      <c r="BM18" s="189"/>
      <c r="BN18" s="189"/>
      <c r="BO18" s="142">
        <f t="shared" si="27"/>
        <v>44267</v>
      </c>
      <c r="BP18" s="34">
        <f t="shared" si="28"/>
        <v>6</v>
      </c>
      <c r="BQ18" s="35" t="str">
        <f t="shared" si="10"/>
        <v>S</v>
      </c>
      <c r="BR18" s="189"/>
      <c r="BS18" s="189"/>
      <c r="BT18" s="189"/>
      <c r="BU18" s="189"/>
      <c r="BV18" s="189"/>
      <c r="BW18" s="142">
        <f t="shared" si="29"/>
        <v>44389</v>
      </c>
      <c r="BX18" s="34">
        <f t="shared" si="30"/>
        <v>2</v>
      </c>
      <c r="BY18" s="35" t="str">
        <f t="shared" si="11"/>
        <v>S</v>
      </c>
      <c r="BZ18" s="189"/>
      <c r="CA18" s="189"/>
      <c r="CB18" s="189"/>
      <c r="CC18" s="189"/>
      <c r="CD18" s="189"/>
      <c r="CE18" s="142">
        <f t="shared" si="31"/>
        <v>44512</v>
      </c>
      <c r="CF18" s="34">
        <f t="shared" si="32"/>
        <v>6</v>
      </c>
      <c r="CG18" s="35" t="str">
        <f t="shared" si="12"/>
        <v>S</v>
      </c>
      <c r="CH18" s="189"/>
      <c r="CI18" s="189"/>
      <c r="CJ18" s="189"/>
      <c r="CK18" s="189"/>
      <c r="CL18" s="189"/>
      <c r="CM18" s="142">
        <f t="shared" si="33"/>
        <v>44542</v>
      </c>
      <c r="CN18" s="34">
        <f t="shared" si="34"/>
        <v>1</v>
      </c>
      <c r="CO18" s="80" t="s">
        <v>109</v>
      </c>
    </row>
    <row r="19" spans="2:93" s="80" customFormat="1" ht="20.25" customHeight="1" thickBot="1" x14ac:dyDescent="0.3">
      <c r="B19" s="32">
        <v>13</v>
      </c>
      <c r="C19" s="33">
        <f t="shared" si="13"/>
        <v>43964</v>
      </c>
      <c r="D19" s="143">
        <f t="shared" si="1"/>
        <v>4</v>
      </c>
      <c r="E19" s="147" t="str">
        <f t="shared" si="2"/>
        <v>Q</v>
      </c>
      <c r="F19" s="189"/>
      <c r="G19" s="189"/>
      <c r="H19" s="189"/>
      <c r="I19" s="189"/>
      <c r="J19" s="189"/>
      <c r="K19" s="142">
        <f t="shared" si="14"/>
        <v>43995</v>
      </c>
      <c r="L19" s="34">
        <f t="shared" si="15"/>
        <v>7</v>
      </c>
      <c r="M19" s="35" t="str">
        <f t="shared" si="3"/>
        <v>S</v>
      </c>
      <c r="N19" s="188"/>
      <c r="O19" s="188"/>
      <c r="P19" s="188"/>
      <c r="Q19" s="188"/>
      <c r="R19" s="188"/>
      <c r="S19" s="142">
        <f t="shared" si="16"/>
        <v>44025</v>
      </c>
      <c r="T19" s="34">
        <f t="shared" si="17"/>
        <v>2</v>
      </c>
      <c r="U19" s="35" t="str">
        <f t="shared" si="4"/>
        <v>S</v>
      </c>
      <c r="V19" s="188"/>
      <c r="W19" s="188"/>
      <c r="X19" s="188"/>
      <c r="Y19" s="188"/>
      <c r="Z19" s="188"/>
      <c r="AA19" s="142">
        <f t="shared" si="35"/>
        <v>44056</v>
      </c>
      <c r="AB19" s="34">
        <f t="shared" si="18"/>
        <v>5</v>
      </c>
      <c r="AC19" s="35" t="str">
        <f t="shared" si="5"/>
        <v>Q</v>
      </c>
      <c r="AD19" s="188"/>
      <c r="AE19" s="188"/>
      <c r="AF19" s="188"/>
      <c r="AG19" s="188"/>
      <c r="AH19" s="189"/>
      <c r="AI19" s="142">
        <f t="shared" si="19"/>
        <v>44087</v>
      </c>
      <c r="AJ19" s="34">
        <f t="shared" si="20"/>
        <v>1</v>
      </c>
      <c r="AK19" s="35" t="str">
        <f t="shared" si="6"/>
        <v>D</v>
      </c>
      <c r="AL19" s="189"/>
      <c r="AM19" s="189"/>
      <c r="AN19" s="189"/>
      <c r="AO19" s="189"/>
      <c r="AP19" s="189"/>
      <c r="AQ19" s="142">
        <f t="shared" si="21"/>
        <v>44117</v>
      </c>
      <c r="AR19" s="34">
        <f t="shared" si="22"/>
        <v>3</v>
      </c>
      <c r="AS19" s="35" t="str">
        <f t="shared" si="7"/>
        <v>T</v>
      </c>
      <c r="AT19" s="189"/>
      <c r="AU19" s="189"/>
      <c r="AV19" s="189"/>
      <c r="AW19" s="189"/>
      <c r="AX19" s="189"/>
      <c r="AY19" s="142">
        <f t="shared" si="23"/>
        <v>44148</v>
      </c>
      <c r="AZ19" s="34">
        <f t="shared" si="24"/>
        <v>6</v>
      </c>
      <c r="BA19" s="35" t="str">
        <f t="shared" si="8"/>
        <v>S</v>
      </c>
      <c r="BB19" s="189"/>
      <c r="BC19" s="189"/>
      <c r="BD19" s="189"/>
      <c r="BE19" s="189"/>
      <c r="BF19" s="189"/>
      <c r="BG19" s="142">
        <f t="shared" si="25"/>
        <v>44178</v>
      </c>
      <c r="BH19" s="34">
        <f t="shared" si="26"/>
        <v>1</v>
      </c>
      <c r="BI19" s="35" t="str">
        <f t="shared" si="9"/>
        <v>D</v>
      </c>
      <c r="BJ19" s="189"/>
      <c r="BK19" s="189"/>
      <c r="BL19" s="189"/>
      <c r="BM19" s="189"/>
      <c r="BN19" s="189"/>
      <c r="BO19" s="142">
        <f t="shared" si="27"/>
        <v>44268</v>
      </c>
      <c r="BP19" s="34">
        <f t="shared" si="28"/>
        <v>7</v>
      </c>
      <c r="BQ19" s="35" t="str">
        <f t="shared" si="10"/>
        <v>S</v>
      </c>
      <c r="BR19" s="189"/>
      <c r="BS19" s="189"/>
      <c r="BT19" s="189"/>
      <c r="BU19" s="189"/>
      <c r="BV19" s="189"/>
      <c r="BW19" s="142">
        <f t="shared" si="29"/>
        <v>44390</v>
      </c>
      <c r="BX19" s="34">
        <f t="shared" si="30"/>
        <v>3</v>
      </c>
      <c r="BY19" s="35" t="str">
        <f t="shared" si="11"/>
        <v>T</v>
      </c>
      <c r="BZ19" s="189"/>
      <c r="CA19" s="189"/>
      <c r="CB19" s="189"/>
      <c r="CC19" s="189"/>
      <c r="CD19" s="189"/>
      <c r="CE19" s="142">
        <f t="shared" si="31"/>
        <v>44513</v>
      </c>
      <c r="CF19" s="34">
        <f t="shared" si="32"/>
        <v>7</v>
      </c>
      <c r="CG19" s="35" t="str">
        <f t="shared" si="12"/>
        <v>S</v>
      </c>
      <c r="CH19" s="189"/>
      <c r="CI19" s="189"/>
      <c r="CJ19" s="189"/>
      <c r="CK19" s="189"/>
      <c r="CL19" s="189"/>
      <c r="CM19" s="142">
        <f t="shared" si="33"/>
        <v>44543</v>
      </c>
      <c r="CN19" s="34">
        <f t="shared" si="34"/>
        <v>2</v>
      </c>
      <c r="CO19" s="80" t="s">
        <v>109</v>
      </c>
    </row>
    <row r="20" spans="2:93" s="80" customFormat="1" ht="20.25" customHeight="1" thickBot="1" x14ac:dyDescent="0.3">
      <c r="B20" s="32">
        <v>14</v>
      </c>
      <c r="C20" s="33">
        <f t="shared" si="13"/>
        <v>43965</v>
      </c>
      <c r="D20" s="143">
        <f t="shared" si="1"/>
        <v>5</v>
      </c>
      <c r="E20" s="147" t="str">
        <f t="shared" si="2"/>
        <v>Q</v>
      </c>
      <c r="F20" s="189"/>
      <c r="G20" s="189"/>
      <c r="H20" s="189"/>
      <c r="I20" s="189"/>
      <c r="J20" s="189"/>
      <c r="K20" s="142">
        <f t="shared" si="14"/>
        <v>43996</v>
      </c>
      <c r="L20" s="34">
        <f t="shared" si="15"/>
        <v>1</v>
      </c>
      <c r="M20" s="35" t="str">
        <f t="shared" si="3"/>
        <v>D</v>
      </c>
      <c r="N20" s="188"/>
      <c r="O20" s="188"/>
      <c r="P20" s="188"/>
      <c r="Q20" s="188"/>
      <c r="R20" s="188"/>
      <c r="S20" s="142">
        <f t="shared" si="16"/>
        <v>44026</v>
      </c>
      <c r="T20" s="34">
        <f t="shared" si="17"/>
        <v>3</v>
      </c>
      <c r="U20" s="35" t="str">
        <f t="shared" si="4"/>
        <v>T</v>
      </c>
      <c r="V20" s="188"/>
      <c r="W20" s="188"/>
      <c r="X20" s="188"/>
      <c r="Y20" s="188"/>
      <c r="Z20" s="188"/>
      <c r="AA20" s="142">
        <f t="shared" si="35"/>
        <v>44057</v>
      </c>
      <c r="AB20" s="34">
        <f t="shared" si="18"/>
        <v>6</v>
      </c>
      <c r="AC20" s="35" t="str">
        <f t="shared" si="5"/>
        <v>S</v>
      </c>
      <c r="AD20" s="188"/>
      <c r="AE20" s="188"/>
      <c r="AF20" s="188"/>
      <c r="AG20" s="188"/>
      <c r="AH20" s="189"/>
      <c r="AI20" s="142">
        <f t="shared" si="19"/>
        <v>44088</v>
      </c>
      <c r="AJ20" s="34">
        <f t="shared" si="20"/>
        <v>2</v>
      </c>
      <c r="AK20" s="35" t="str">
        <f t="shared" si="6"/>
        <v>S</v>
      </c>
      <c r="AL20" s="189"/>
      <c r="AM20" s="189"/>
      <c r="AN20" s="189"/>
      <c r="AO20" s="189"/>
      <c r="AP20" s="189"/>
      <c r="AQ20" s="142">
        <f t="shared" si="21"/>
        <v>44118</v>
      </c>
      <c r="AR20" s="34">
        <f t="shared" si="22"/>
        <v>4</v>
      </c>
      <c r="AS20" s="35" t="str">
        <f t="shared" si="7"/>
        <v>Q</v>
      </c>
      <c r="AT20" s="189"/>
      <c r="AU20" s="189"/>
      <c r="AV20" s="189"/>
      <c r="AW20" s="189"/>
      <c r="AX20" s="189"/>
      <c r="AY20" s="142">
        <f t="shared" si="23"/>
        <v>44149</v>
      </c>
      <c r="AZ20" s="34">
        <f t="shared" si="24"/>
        <v>7</v>
      </c>
      <c r="BA20" s="35" t="str">
        <f t="shared" si="8"/>
        <v>S</v>
      </c>
      <c r="BB20" s="189"/>
      <c r="BC20" s="189"/>
      <c r="BD20" s="189"/>
      <c r="BE20" s="189"/>
      <c r="BF20" s="189"/>
      <c r="BG20" s="142">
        <f t="shared" si="25"/>
        <v>44179</v>
      </c>
      <c r="BH20" s="34">
        <f t="shared" si="26"/>
        <v>2</v>
      </c>
      <c r="BI20" s="35" t="str">
        <f t="shared" si="9"/>
        <v>S</v>
      </c>
      <c r="BJ20" s="189"/>
      <c r="BK20" s="189"/>
      <c r="BL20" s="189"/>
      <c r="BM20" s="189"/>
      <c r="BN20" s="189"/>
      <c r="BO20" s="142">
        <f t="shared" si="27"/>
        <v>44269</v>
      </c>
      <c r="BP20" s="34">
        <f t="shared" si="28"/>
        <v>1</v>
      </c>
      <c r="BQ20" s="35" t="str">
        <f t="shared" si="10"/>
        <v>D</v>
      </c>
      <c r="BR20" s="189"/>
      <c r="BS20" s="189"/>
      <c r="BT20" s="189"/>
      <c r="BU20" s="189"/>
      <c r="BV20" s="189"/>
      <c r="BW20" s="142">
        <f t="shared" si="29"/>
        <v>44391</v>
      </c>
      <c r="BX20" s="34">
        <f t="shared" si="30"/>
        <v>4</v>
      </c>
      <c r="BY20" s="35" t="str">
        <f t="shared" si="11"/>
        <v>Q</v>
      </c>
      <c r="BZ20" s="189"/>
      <c r="CA20" s="189"/>
      <c r="CB20" s="189"/>
      <c r="CC20" s="189"/>
      <c r="CD20" s="189"/>
      <c r="CE20" s="142">
        <f t="shared" si="31"/>
        <v>44514</v>
      </c>
      <c r="CF20" s="34">
        <f t="shared" si="32"/>
        <v>1</v>
      </c>
      <c r="CG20" s="35" t="str">
        <f t="shared" si="12"/>
        <v>D</v>
      </c>
      <c r="CH20" s="189"/>
      <c r="CI20" s="189"/>
      <c r="CJ20" s="189"/>
      <c r="CK20" s="189"/>
      <c r="CL20" s="189"/>
      <c r="CM20" s="142">
        <f t="shared" si="33"/>
        <v>44544</v>
      </c>
      <c r="CN20" s="34">
        <f t="shared" si="34"/>
        <v>3</v>
      </c>
      <c r="CO20" s="80" t="s">
        <v>109</v>
      </c>
    </row>
    <row r="21" spans="2:93" s="80" customFormat="1" ht="20.25" customHeight="1" thickBot="1" x14ac:dyDescent="0.3">
      <c r="B21" s="32">
        <v>15</v>
      </c>
      <c r="C21" s="33">
        <f t="shared" si="13"/>
        <v>43966</v>
      </c>
      <c r="D21" s="143">
        <f t="shared" si="1"/>
        <v>6</v>
      </c>
      <c r="E21" s="147" t="str">
        <f t="shared" si="2"/>
        <v>S</v>
      </c>
      <c r="F21" s="189"/>
      <c r="G21" s="189"/>
      <c r="H21" s="189"/>
      <c r="I21" s="190"/>
      <c r="J21" s="189"/>
      <c r="K21" s="142">
        <f t="shared" si="14"/>
        <v>43997</v>
      </c>
      <c r="L21" s="34">
        <f t="shared" si="15"/>
        <v>2</v>
      </c>
      <c r="M21" s="35" t="str">
        <f t="shared" si="3"/>
        <v>S</v>
      </c>
      <c r="N21" s="188"/>
      <c r="O21" s="188"/>
      <c r="P21" s="188"/>
      <c r="Q21" s="188"/>
      <c r="R21" s="188"/>
      <c r="S21" s="142">
        <f t="shared" si="16"/>
        <v>44027</v>
      </c>
      <c r="T21" s="34">
        <f t="shared" si="17"/>
        <v>4</v>
      </c>
      <c r="U21" s="35" t="str">
        <f t="shared" si="4"/>
        <v>Q</v>
      </c>
      <c r="V21" s="188"/>
      <c r="W21" s="188"/>
      <c r="X21" s="188"/>
      <c r="Y21" s="188"/>
      <c r="Z21" s="188"/>
      <c r="AA21" s="142">
        <f t="shared" si="35"/>
        <v>44058</v>
      </c>
      <c r="AB21" s="34">
        <f t="shared" si="18"/>
        <v>7</v>
      </c>
      <c r="AC21" s="35" t="str">
        <f t="shared" si="5"/>
        <v>S</v>
      </c>
      <c r="AD21" s="188"/>
      <c r="AE21" s="188"/>
      <c r="AF21" s="188"/>
      <c r="AG21" s="188"/>
      <c r="AH21" s="189"/>
      <c r="AI21" s="142">
        <f t="shared" si="19"/>
        <v>44089</v>
      </c>
      <c r="AJ21" s="34">
        <f t="shared" si="20"/>
        <v>3</v>
      </c>
      <c r="AK21" s="35" t="str">
        <f t="shared" si="6"/>
        <v>T</v>
      </c>
      <c r="AL21" s="189"/>
      <c r="AM21" s="189"/>
      <c r="AO21" s="190"/>
      <c r="AP21" s="189"/>
      <c r="AQ21" s="142">
        <f t="shared" si="21"/>
        <v>44119</v>
      </c>
      <c r="AR21" s="34">
        <f t="shared" si="22"/>
        <v>5</v>
      </c>
      <c r="AS21" s="35" t="str">
        <f t="shared" si="7"/>
        <v>Q</v>
      </c>
      <c r="AT21" s="189"/>
      <c r="AU21" s="189"/>
      <c r="AV21" s="189"/>
      <c r="AW21" s="190"/>
      <c r="AX21" s="189"/>
      <c r="AY21" s="142">
        <f t="shared" si="23"/>
        <v>44150</v>
      </c>
      <c r="AZ21" s="34">
        <f t="shared" si="24"/>
        <v>1</v>
      </c>
      <c r="BA21" s="35" t="str">
        <f t="shared" si="8"/>
        <v>D</v>
      </c>
      <c r="BB21" s="189"/>
      <c r="BC21" s="189"/>
      <c r="BD21" s="189"/>
      <c r="BE21" s="190"/>
      <c r="BF21" s="189"/>
      <c r="BG21" s="142">
        <f t="shared" si="25"/>
        <v>44180</v>
      </c>
      <c r="BH21" s="34">
        <f t="shared" si="26"/>
        <v>3</v>
      </c>
      <c r="BI21" s="35" t="str">
        <f t="shared" si="9"/>
        <v>T</v>
      </c>
      <c r="BJ21" s="189"/>
      <c r="BK21" s="189"/>
      <c r="BL21" s="189"/>
      <c r="BM21" s="190"/>
      <c r="BN21" s="189"/>
      <c r="BO21" s="142">
        <f t="shared" si="27"/>
        <v>44270</v>
      </c>
      <c r="BP21" s="34">
        <f t="shared" si="28"/>
        <v>2</v>
      </c>
      <c r="BQ21" s="35" t="str">
        <f t="shared" si="10"/>
        <v>S</v>
      </c>
      <c r="BR21" s="189"/>
      <c r="BS21" s="189"/>
      <c r="BT21" s="189"/>
      <c r="BU21" s="190"/>
      <c r="BV21" s="189"/>
      <c r="BW21" s="142">
        <f t="shared" si="29"/>
        <v>44392</v>
      </c>
      <c r="BX21" s="34">
        <f t="shared" si="30"/>
        <v>5</v>
      </c>
      <c r="BY21" s="35" t="str">
        <f t="shared" si="11"/>
        <v>Q</v>
      </c>
      <c r="BZ21" s="189"/>
      <c r="CA21" s="189"/>
      <c r="CB21" s="189"/>
      <c r="CC21" s="190"/>
      <c r="CD21" s="189"/>
      <c r="CE21" s="142">
        <f t="shared" si="31"/>
        <v>44515</v>
      </c>
      <c r="CF21" s="34">
        <f t="shared" si="32"/>
        <v>2</v>
      </c>
      <c r="CG21" s="35" t="str">
        <f t="shared" si="12"/>
        <v>S</v>
      </c>
      <c r="CH21" s="189"/>
      <c r="CI21" s="189"/>
      <c r="CJ21" s="189"/>
      <c r="CK21" s="190"/>
      <c r="CL21" s="189"/>
      <c r="CM21" s="142">
        <f t="shared" si="33"/>
        <v>44545</v>
      </c>
      <c r="CN21" s="34">
        <f t="shared" si="34"/>
        <v>4</v>
      </c>
      <c r="CO21" s="80" t="s">
        <v>109</v>
      </c>
    </row>
    <row r="22" spans="2:93" s="80" customFormat="1" ht="20.25" customHeight="1" thickBot="1" x14ac:dyDescent="0.3">
      <c r="B22" s="32">
        <v>16</v>
      </c>
      <c r="C22" s="33">
        <f t="shared" si="13"/>
        <v>43967</v>
      </c>
      <c r="D22" s="143">
        <f t="shared" si="1"/>
        <v>7</v>
      </c>
      <c r="E22" s="147" t="str">
        <f t="shared" si="2"/>
        <v>S</v>
      </c>
      <c r="F22" s="189"/>
      <c r="G22" s="189"/>
      <c r="H22" s="189"/>
      <c r="I22" s="189"/>
      <c r="J22" s="189"/>
      <c r="K22" s="142">
        <f t="shared" si="14"/>
        <v>43998</v>
      </c>
      <c r="L22" s="34">
        <f t="shared" si="15"/>
        <v>3</v>
      </c>
      <c r="M22" s="35" t="str">
        <f t="shared" si="3"/>
        <v>T</v>
      </c>
      <c r="N22" s="188"/>
      <c r="O22" s="188"/>
      <c r="P22" s="188"/>
      <c r="Q22" s="188"/>
      <c r="R22" s="188"/>
      <c r="S22" s="142">
        <f t="shared" si="16"/>
        <v>44028</v>
      </c>
      <c r="T22" s="34">
        <f t="shared" si="17"/>
        <v>5</v>
      </c>
      <c r="U22" s="35" t="str">
        <f t="shared" si="4"/>
        <v>Q</v>
      </c>
      <c r="V22" s="188"/>
      <c r="W22" s="188"/>
      <c r="X22" s="188"/>
      <c r="Y22" s="188"/>
      <c r="Z22" s="188"/>
      <c r="AA22" s="142">
        <f t="shared" si="35"/>
        <v>44059</v>
      </c>
      <c r="AB22" s="34">
        <f t="shared" si="18"/>
        <v>1</v>
      </c>
      <c r="AC22" s="35" t="str">
        <f t="shared" si="5"/>
        <v>D</v>
      </c>
      <c r="AD22" s="188"/>
      <c r="AE22" s="188"/>
      <c r="AF22" s="188"/>
      <c r="AG22" s="188"/>
      <c r="AH22" s="189"/>
      <c r="AI22" s="142">
        <f t="shared" si="19"/>
        <v>44090</v>
      </c>
      <c r="AJ22" s="34">
        <f t="shared" si="20"/>
        <v>4</v>
      </c>
      <c r="AK22" s="35" t="str">
        <f t="shared" si="6"/>
        <v>Q</v>
      </c>
      <c r="AL22" s="189"/>
      <c r="AM22" s="189"/>
      <c r="AN22" s="189"/>
      <c r="AO22" s="189"/>
      <c r="AP22" s="189"/>
      <c r="AQ22" s="142">
        <f t="shared" si="21"/>
        <v>44120</v>
      </c>
      <c r="AR22" s="34">
        <f t="shared" si="22"/>
        <v>6</v>
      </c>
      <c r="AS22" s="35" t="str">
        <f t="shared" si="7"/>
        <v>S</v>
      </c>
      <c r="AT22" s="189"/>
      <c r="AU22" s="189"/>
      <c r="AV22" s="189"/>
      <c r="AW22" s="189"/>
      <c r="AX22" s="189"/>
      <c r="AY22" s="142">
        <f t="shared" si="23"/>
        <v>44151</v>
      </c>
      <c r="AZ22" s="34">
        <f t="shared" si="24"/>
        <v>2</v>
      </c>
      <c r="BA22" s="35" t="str">
        <f t="shared" si="8"/>
        <v>S</v>
      </c>
      <c r="BB22" s="189"/>
      <c r="BC22" s="189"/>
      <c r="BD22" s="189"/>
      <c r="BE22" s="189"/>
      <c r="BF22" s="189"/>
      <c r="BG22" s="142">
        <f t="shared" si="25"/>
        <v>44181</v>
      </c>
      <c r="BH22" s="34">
        <f t="shared" si="26"/>
        <v>4</v>
      </c>
      <c r="BI22" s="35" t="str">
        <f t="shared" si="9"/>
        <v>Q</v>
      </c>
      <c r="BJ22" s="189"/>
      <c r="BK22" s="189"/>
      <c r="BL22" s="189"/>
      <c r="BM22" s="189"/>
      <c r="BN22" s="189"/>
      <c r="BO22" s="142">
        <f t="shared" si="27"/>
        <v>44271</v>
      </c>
      <c r="BP22" s="34">
        <f t="shared" si="28"/>
        <v>3</v>
      </c>
      <c r="BQ22" s="35" t="str">
        <f t="shared" si="10"/>
        <v>T</v>
      </c>
      <c r="BR22" s="189"/>
      <c r="BS22" s="189"/>
      <c r="BT22" s="189"/>
      <c r="BU22" s="189"/>
      <c r="BV22" s="189"/>
      <c r="BW22" s="142">
        <f t="shared" si="29"/>
        <v>44393</v>
      </c>
      <c r="BX22" s="34">
        <f t="shared" si="30"/>
        <v>6</v>
      </c>
      <c r="BY22" s="35" t="str">
        <f t="shared" si="11"/>
        <v>S</v>
      </c>
      <c r="BZ22" s="189"/>
      <c r="CA22" s="189"/>
      <c r="CB22" s="189"/>
      <c r="CC22" s="189"/>
      <c r="CD22" s="189"/>
      <c r="CE22" s="142">
        <f t="shared" si="31"/>
        <v>44516</v>
      </c>
      <c r="CF22" s="34">
        <f t="shared" si="32"/>
        <v>3</v>
      </c>
      <c r="CG22" s="35" t="str">
        <f t="shared" si="12"/>
        <v>T</v>
      </c>
      <c r="CH22" s="189"/>
      <c r="CI22" s="189"/>
      <c r="CJ22" s="189"/>
      <c r="CK22" s="189"/>
      <c r="CL22" s="189"/>
      <c r="CM22" s="142">
        <f t="shared" si="33"/>
        <v>44546</v>
      </c>
      <c r="CN22" s="34">
        <f t="shared" si="34"/>
        <v>5</v>
      </c>
      <c r="CO22" s="80" t="s">
        <v>109</v>
      </c>
    </row>
    <row r="23" spans="2:93" s="80" customFormat="1" ht="20.25" customHeight="1" thickBot="1" x14ac:dyDescent="0.3">
      <c r="B23" s="32">
        <v>17</v>
      </c>
      <c r="C23" s="33">
        <f t="shared" si="13"/>
        <v>43968</v>
      </c>
      <c r="D23" s="143">
        <f t="shared" si="1"/>
        <v>1</v>
      </c>
      <c r="E23" s="147" t="str">
        <f t="shared" si="2"/>
        <v>D</v>
      </c>
      <c r="F23" s="189"/>
      <c r="G23" s="189"/>
      <c r="H23" s="189"/>
      <c r="I23" s="189"/>
      <c r="J23" s="189"/>
      <c r="K23" s="142">
        <f t="shared" si="14"/>
        <v>43999</v>
      </c>
      <c r="L23" s="34">
        <f t="shared" si="15"/>
        <v>4</v>
      </c>
      <c r="M23" s="35" t="str">
        <f t="shared" si="3"/>
        <v>Q</v>
      </c>
      <c r="N23" s="188"/>
      <c r="O23" s="188"/>
      <c r="P23" s="188"/>
      <c r="Q23" s="188"/>
      <c r="R23" s="188"/>
      <c r="S23" s="142">
        <f t="shared" si="16"/>
        <v>44029</v>
      </c>
      <c r="T23" s="34">
        <f t="shared" si="17"/>
        <v>6</v>
      </c>
      <c r="U23" s="35" t="str">
        <f t="shared" si="4"/>
        <v>S</v>
      </c>
      <c r="V23" s="188"/>
      <c r="W23" s="188"/>
      <c r="X23" s="188"/>
      <c r="Y23" s="188"/>
      <c r="Z23" s="188"/>
      <c r="AA23" s="142">
        <f t="shared" si="35"/>
        <v>44060</v>
      </c>
      <c r="AB23" s="34">
        <f t="shared" si="18"/>
        <v>2</v>
      </c>
      <c r="AC23" s="35" t="str">
        <f t="shared" si="5"/>
        <v>S</v>
      </c>
      <c r="AD23" s="188"/>
      <c r="AE23" s="188"/>
      <c r="AF23" s="188"/>
      <c r="AG23" s="188"/>
      <c r="AH23" s="189"/>
      <c r="AI23" s="142">
        <f t="shared" si="19"/>
        <v>44091</v>
      </c>
      <c r="AJ23" s="34">
        <f t="shared" si="20"/>
        <v>5</v>
      </c>
      <c r="AK23" s="35" t="str">
        <f t="shared" si="6"/>
        <v>Q</v>
      </c>
      <c r="AL23" s="189"/>
      <c r="AM23" s="189"/>
      <c r="AN23" s="189"/>
      <c r="AO23" s="189"/>
      <c r="AP23" s="189"/>
      <c r="AQ23" s="142">
        <f t="shared" si="21"/>
        <v>44121</v>
      </c>
      <c r="AR23" s="34">
        <f t="shared" si="22"/>
        <v>7</v>
      </c>
      <c r="AS23" s="35" t="str">
        <f t="shared" si="7"/>
        <v>S</v>
      </c>
      <c r="AT23" s="189"/>
      <c r="AU23" s="189"/>
      <c r="AV23" s="189"/>
      <c r="AW23" s="189"/>
      <c r="AX23" s="189"/>
      <c r="AY23" s="142">
        <f t="shared" si="23"/>
        <v>44152</v>
      </c>
      <c r="AZ23" s="34">
        <f t="shared" si="24"/>
        <v>3</v>
      </c>
      <c r="BA23" s="35" t="str">
        <f t="shared" si="8"/>
        <v>T</v>
      </c>
      <c r="BB23" s="189"/>
      <c r="BC23" s="189"/>
      <c r="BD23" s="189"/>
      <c r="BE23" s="189"/>
      <c r="BF23" s="189"/>
      <c r="BG23" s="142">
        <f t="shared" si="25"/>
        <v>44182</v>
      </c>
      <c r="BH23" s="34">
        <f t="shared" si="26"/>
        <v>5</v>
      </c>
      <c r="BI23" s="35" t="str">
        <f t="shared" si="9"/>
        <v>Q</v>
      </c>
      <c r="BJ23" s="189"/>
      <c r="BK23" s="189"/>
      <c r="BL23" s="189"/>
      <c r="BM23" s="189"/>
      <c r="BN23" s="189"/>
      <c r="BO23" s="142">
        <f t="shared" si="27"/>
        <v>44272</v>
      </c>
      <c r="BP23" s="34">
        <f t="shared" si="28"/>
        <v>4</v>
      </c>
      <c r="BQ23" s="35" t="str">
        <f t="shared" si="10"/>
        <v>Q</v>
      </c>
      <c r="BR23" s="189"/>
      <c r="BS23" s="189"/>
      <c r="BT23" s="189"/>
      <c r="BU23" s="189"/>
      <c r="BV23" s="189"/>
      <c r="BW23" s="142">
        <f t="shared" si="29"/>
        <v>44394</v>
      </c>
      <c r="BX23" s="34">
        <f t="shared" si="30"/>
        <v>7</v>
      </c>
      <c r="BY23" s="35" t="str">
        <f t="shared" si="11"/>
        <v>S</v>
      </c>
      <c r="BZ23" s="189"/>
      <c r="CA23" s="189"/>
      <c r="CB23" s="189"/>
      <c r="CC23" s="189"/>
      <c r="CD23" s="189"/>
      <c r="CE23" s="142">
        <f t="shared" si="31"/>
        <v>44517</v>
      </c>
      <c r="CF23" s="34">
        <f t="shared" si="32"/>
        <v>4</v>
      </c>
      <c r="CG23" s="35" t="str">
        <f t="shared" si="12"/>
        <v>Q</v>
      </c>
      <c r="CH23" s="189"/>
      <c r="CI23" s="189"/>
      <c r="CJ23" s="189"/>
      <c r="CK23" s="189"/>
      <c r="CL23" s="189"/>
      <c r="CM23" s="142">
        <f t="shared" si="33"/>
        <v>44547</v>
      </c>
      <c r="CN23" s="34">
        <f t="shared" si="34"/>
        <v>6</v>
      </c>
      <c r="CO23" s="80" t="s">
        <v>109</v>
      </c>
    </row>
    <row r="24" spans="2:93" s="80" customFormat="1" ht="20.25" customHeight="1" thickBot="1" x14ac:dyDescent="0.3">
      <c r="B24" s="32">
        <v>18</v>
      </c>
      <c r="C24" s="33">
        <f t="shared" si="13"/>
        <v>43969</v>
      </c>
      <c r="D24" s="143">
        <f t="shared" si="1"/>
        <v>2</v>
      </c>
      <c r="E24" s="147" t="str">
        <f t="shared" si="2"/>
        <v>S</v>
      </c>
      <c r="F24" s="189"/>
      <c r="G24" s="189"/>
      <c r="H24" s="189"/>
      <c r="I24" s="189"/>
      <c r="J24" s="189"/>
      <c r="K24" s="142">
        <f t="shared" si="14"/>
        <v>44000</v>
      </c>
      <c r="L24" s="34">
        <f t="shared" si="15"/>
        <v>5</v>
      </c>
      <c r="M24" s="35" t="str">
        <f t="shared" si="3"/>
        <v>Q</v>
      </c>
      <c r="N24" s="188"/>
      <c r="O24" s="188"/>
      <c r="P24" s="188"/>
      <c r="Q24" s="188"/>
      <c r="R24" s="188"/>
      <c r="S24" s="142">
        <f t="shared" si="16"/>
        <v>44030</v>
      </c>
      <c r="T24" s="34">
        <f t="shared" si="17"/>
        <v>7</v>
      </c>
      <c r="U24" s="35" t="str">
        <f t="shared" si="4"/>
        <v>S</v>
      </c>
      <c r="V24" s="188"/>
      <c r="W24" s="188"/>
      <c r="X24" s="188"/>
      <c r="Y24" s="188"/>
      <c r="Z24" s="188"/>
      <c r="AA24" s="142">
        <f t="shared" si="35"/>
        <v>44061</v>
      </c>
      <c r="AB24" s="34">
        <f t="shared" si="18"/>
        <v>3</v>
      </c>
      <c r="AC24" s="35" t="str">
        <f t="shared" si="5"/>
        <v>T</v>
      </c>
      <c r="AD24" s="188"/>
      <c r="AE24" s="188"/>
      <c r="AF24" s="188"/>
      <c r="AG24" s="188"/>
      <c r="AH24" s="189"/>
      <c r="AI24" s="142">
        <f t="shared" si="19"/>
        <v>44092</v>
      </c>
      <c r="AJ24" s="34">
        <f t="shared" si="20"/>
        <v>6</v>
      </c>
      <c r="AK24" s="35" t="str">
        <f t="shared" si="6"/>
        <v>S</v>
      </c>
      <c r="AL24" s="189"/>
      <c r="AM24" s="189"/>
      <c r="AN24" s="189"/>
      <c r="AO24" s="189"/>
      <c r="AP24" s="189"/>
      <c r="AQ24" s="142">
        <f t="shared" si="21"/>
        <v>44122</v>
      </c>
      <c r="AR24" s="34">
        <f t="shared" si="22"/>
        <v>1</v>
      </c>
      <c r="AS24" s="35" t="str">
        <f t="shared" si="7"/>
        <v>D</v>
      </c>
      <c r="AT24" s="189"/>
      <c r="AU24" s="189"/>
      <c r="AV24" s="189"/>
      <c r="AW24" s="189"/>
      <c r="AX24" s="189"/>
      <c r="AY24" s="142">
        <f t="shared" si="23"/>
        <v>44153</v>
      </c>
      <c r="AZ24" s="34">
        <f t="shared" si="24"/>
        <v>4</v>
      </c>
      <c r="BA24" s="35" t="str">
        <f t="shared" si="8"/>
        <v>Q</v>
      </c>
      <c r="BB24" s="189"/>
      <c r="BC24" s="189"/>
      <c r="BD24" s="189"/>
      <c r="BE24" s="189"/>
      <c r="BF24" s="189"/>
      <c r="BG24" s="142">
        <f t="shared" si="25"/>
        <v>44183</v>
      </c>
      <c r="BH24" s="34">
        <f t="shared" si="26"/>
        <v>6</v>
      </c>
      <c r="BI24" s="35" t="str">
        <f t="shared" si="9"/>
        <v>S</v>
      </c>
      <c r="BJ24" s="189"/>
      <c r="BK24" s="189"/>
      <c r="BL24" s="189"/>
      <c r="BM24" s="189"/>
      <c r="BN24" s="189"/>
      <c r="BO24" s="142">
        <f t="shared" si="27"/>
        <v>44273</v>
      </c>
      <c r="BP24" s="34">
        <f t="shared" si="28"/>
        <v>5</v>
      </c>
      <c r="BQ24" s="35" t="str">
        <f t="shared" si="10"/>
        <v>Q</v>
      </c>
      <c r="BR24" s="189"/>
      <c r="BS24" s="189"/>
      <c r="BT24" s="189"/>
      <c r="BU24" s="189"/>
      <c r="BV24" s="189"/>
      <c r="BW24" s="142">
        <f t="shared" si="29"/>
        <v>44395</v>
      </c>
      <c r="BX24" s="34">
        <f t="shared" si="30"/>
        <v>1</v>
      </c>
      <c r="BY24" s="35" t="str">
        <f t="shared" si="11"/>
        <v>D</v>
      </c>
      <c r="BZ24" s="189"/>
      <c r="CA24" s="189"/>
      <c r="CB24" s="189"/>
      <c r="CC24" s="189"/>
      <c r="CD24" s="189"/>
      <c r="CE24" s="142">
        <f t="shared" si="31"/>
        <v>44518</v>
      </c>
      <c r="CF24" s="34">
        <f t="shared" si="32"/>
        <v>5</v>
      </c>
      <c r="CG24" s="35" t="str">
        <f t="shared" si="12"/>
        <v>Q</v>
      </c>
      <c r="CH24" s="189"/>
      <c r="CI24" s="189"/>
      <c r="CJ24" s="189"/>
      <c r="CK24" s="189"/>
      <c r="CL24" s="189"/>
      <c r="CM24" s="142">
        <f t="shared" si="33"/>
        <v>44548</v>
      </c>
      <c r="CN24" s="34">
        <f t="shared" si="34"/>
        <v>7</v>
      </c>
      <c r="CO24" s="80" t="s">
        <v>109</v>
      </c>
    </row>
    <row r="25" spans="2:93" s="80" customFormat="1" ht="20.25" customHeight="1" thickBot="1" x14ac:dyDescent="0.3">
      <c r="B25" s="32">
        <v>19</v>
      </c>
      <c r="C25" s="33">
        <f t="shared" si="13"/>
        <v>43970</v>
      </c>
      <c r="D25" s="143">
        <f t="shared" si="1"/>
        <v>3</v>
      </c>
      <c r="E25" s="147" t="str">
        <f t="shared" si="2"/>
        <v>T</v>
      </c>
      <c r="F25" s="189"/>
      <c r="G25" s="189"/>
      <c r="H25" s="189"/>
      <c r="I25" s="189"/>
      <c r="K25" s="142">
        <f t="shared" si="14"/>
        <v>44001</v>
      </c>
      <c r="L25" s="34">
        <f t="shared" si="15"/>
        <v>6</v>
      </c>
      <c r="M25" s="35" t="str">
        <f t="shared" si="3"/>
        <v>S</v>
      </c>
      <c r="N25" s="188"/>
      <c r="O25" s="188"/>
      <c r="P25" s="188"/>
      <c r="Q25" s="188"/>
      <c r="R25" s="188"/>
      <c r="S25" s="142">
        <f t="shared" si="16"/>
        <v>44031</v>
      </c>
      <c r="T25" s="34">
        <f t="shared" si="17"/>
        <v>1</v>
      </c>
      <c r="U25" s="35" t="str">
        <f t="shared" si="4"/>
        <v>D</v>
      </c>
      <c r="V25" s="188"/>
      <c r="W25" s="188"/>
      <c r="X25" s="188"/>
      <c r="Y25" s="188"/>
      <c r="Z25" s="188"/>
      <c r="AA25" s="142">
        <f t="shared" si="35"/>
        <v>44062</v>
      </c>
      <c r="AB25" s="34">
        <f t="shared" si="18"/>
        <v>4</v>
      </c>
      <c r="AC25" s="35" t="str">
        <f t="shared" si="5"/>
        <v>Q</v>
      </c>
      <c r="AD25" s="188"/>
      <c r="AE25" s="188"/>
      <c r="AF25" s="188"/>
      <c r="AG25" s="188"/>
      <c r="AH25" s="189"/>
      <c r="AI25" s="142">
        <f t="shared" si="19"/>
        <v>44093</v>
      </c>
      <c r="AJ25" s="34">
        <f t="shared" si="20"/>
        <v>7</v>
      </c>
      <c r="AK25" s="35" t="str">
        <f t="shared" si="6"/>
        <v>S</v>
      </c>
      <c r="AL25" s="189"/>
      <c r="AM25" s="189"/>
      <c r="AN25" s="189"/>
      <c r="AO25" s="189"/>
      <c r="AP25" s="189"/>
      <c r="AQ25" s="142">
        <f t="shared" si="21"/>
        <v>44123</v>
      </c>
      <c r="AR25" s="34">
        <f t="shared" si="22"/>
        <v>2</v>
      </c>
      <c r="AS25" s="35" t="str">
        <f t="shared" si="7"/>
        <v>S</v>
      </c>
      <c r="AT25" s="189"/>
      <c r="AU25" s="189"/>
      <c r="AV25" s="189"/>
      <c r="AW25" s="189"/>
      <c r="AX25" s="189"/>
      <c r="AY25" s="142">
        <f t="shared" si="23"/>
        <v>44154</v>
      </c>
      <c r="AZ25" s="34">
        <f t="shared" si="24"/>
        <v>5</v>
      </c>
      <c r="BA25" s="35" t="str">
        <f t="shared" si="8"/>
        <v>Q</v>
      </c>
      <c r="BB25" s="189"/>
      <c r="BC25" s="189"/>
      <c r="BD25" s="189"/>
      <c r="BE25" s="189"/>
      <c r="BF25" s="189"/>
      <c r="BG25" s="142">
        <f t="shared" si="25"/>
        <v>44184</v>
      </c>
      <c r="BH25" s="34">
        <f t="shared" si="26"/>
        <v>7</v>
      </c>
      <c r="BI25" s="35" t="str">
        <f t="shared" si="9"/>
        <v>S</v>
      </c>
      <c r="BJ25" s="189"/>
      <c r="BK25" s="189"/>
      <c r="BL25" s="189"/>
      <c r="BM25" s="189"/>
      <c r="BN25" s="189"/>
      <c r="BO25" s="142">
        <f t="shared" si="27"/>
        <v>44274</v>
      </c>
      <c r="BP25" s="34">
        <f t="shared" si="28"/>
        <v>6</v>
      </c>
      <c r="BQ25" s="35" t="str">
        <f t="shared" si="10"/>
        <v>S</v>
      </c>
      <c r="BR25" s="189"/>
      <c r="BS25" s="189"/>
      <c r="BT25" s="189"/>
      <c r="BU25" s="189"/>
      <c r="BV25" s="189"/>
      <c r="BW25" s="142">
        <f t="shared" si="29"/>
        <v>44396</v>
      </c>
      <c r="BX25" s="34">
        <f t="shared" si="30"/>
        <v>2</v>
      </c>
      <c r="BY25" s="35" t="str">
        <f t="shared" si="11"/>
        <v>S</v>
      </c>
      <c r="BZ25" s="189"/>
      <c r="CA25" s="189"/>
      <c r="CB25" s="189"/>
      <c r="CC25" s="189"/>
      <c r="CD25" s="189"/>
      <c r="CE25" s="142">
        <f t="shared" si="31"/>
        <v>44519</v>
      </c>
      <c r="CF25" s="34">
        <f t="shared" si="32"/>
        <v>6</v>
      </c>
      <c r="CG25" s="35" t="str">
        <f t="shared" si="12"/>
        <v>S</v>
      </c>
      <c r="CH25" s="189"/>
      <c r="CI25" s="189"/>
      <c r="CJ25" s="189"/>
      <c r="CK25" s="189"/>
      <c r="CL25" s="189"/>
      <c r="CM25" s="142">
        <f t="shared" si="33"/>
        <v>44549</v>
      </c>
      <c r="CN25" s="34">
        <f t="shared" si="34"/>
        <v>1</v>
      </c>
      <c r="CO25" s="80" t="s">
        <v>109</v>
      </c>
    </row>
    <row r="26" spans="2:93" s="80" customFormat="1" ht="20.25" customHeight="1" thickBot="1" x14ac:dyDescent="0.3">
      <c r="B26" s="32">
        <v>20</v>
      </c>
      <c r="C26" s="33">
        <f t="shared" si="13"/>
        <v>43971</v>
      </c>
      <c r="D26" s="143">
        <f t="shared" si="1"/>
        <v>4</v>
      </c>
      <c r="E26" s="147" t="str">
        <f t="shared" si="2"/>
        <v>Q</v>
      </c>
      <c r="F26" s="189"/>
      <c r="G26" s="189"/>
      <c r="H26" s="189"/>
      <c r="I26" s="189"/>
      <c r="J26" s="189"/>
      <c r="K26" s="142">
        <f t="shared" si="14"/>
        <v>44002</v>
      </c>
      <c r="L26" s="34">
        <f t="shared" si="15"/>
        <v>7</v>
      </c>
      <c r="M26" s="35" t="str">
        <f t="shared" si="3"/>
        <v>S</v>
      </c>
      <c r="N26" s="188"/>
      <c r="O26" s="188"/>
      <c r="P26" s="188"/>
      <c r="Q26" s="188"/>
      <c r="R26" s="188"/>
      <c r="S26" s="142">
        <f t="shared" si="16"/>
        <v>44032</v>
      </c>
      <c r="T26" s="34">
        <f t="shared" si="17"/>
        <v>2</v>
      </c>
      <c r="U26" s="35" t="str">
        <f t="shared" si="4"/>
        <v>S</v>
      </c>
      <c r="V26" s="188"/>
      <c r="W26" s="188"/>
      <c r="X26" s="188"/>
      <c r="Y26" s="188"/>
      <c r="Z26" s="188"/>
      <c r="AA26" s="142">
        <f t="shared" si="35"/>
        <v>44063</v>
      </c>
      <c r="AB26" s="34">
        <f t="shared" si="18"/>
        <v>5</v>
      </c>
      <c r="AC26" s="35" t="str">
        <f t="shared" si="5"/>
        <v>Q</v>
      </c>
      <c r="AD26" s="188"/>
      <c r="AE26" s="188"/>
      <c r="AF26" s="188"/>
      <c r="AG26" s="188"/>
      <c r="AH26" s="189"/>
      <c r="AI26" s="142">
        <f t="shared" si="19"/>
        <v>44094</v>
      </c>
      <c r="AJ26" s="34">
        <f t="shared" si="20"/>
        <v>1</v>
      </c>
      <c r="AK26" s="35" t="str">
        <f t="shared" si="6"/>
        <v>D</v>
      </c>
      <c r="AL26" s="189"/>
      <c r="AM26" s="189"/>
      <c r="AN26" s="189"/>
      <c r="AO26" s="189"/>
      <c r="AP26" s="189"/>
      <c r="AQ26" s="142">
        <f t="shared" si="21"/>
        <v>44124</v>
      </c>
      <c r="AR26" s="34">
        <f t="shared" si="22"/>
        <v>3</v>
      </c>
      <c r="AS26" s="35" t="str">
        <f t="shared" si="7"/>
        <v>T</v>
      </c>
      <c r="AT26" s="189"/>
      <c r="AU26" s="189"/>
      <c r="AV26" s="189"/>
      <c r="AW26" s="189"/>
      <c r="AX26" s="189"/>
      <c r="AY26" s="142">
        <f t="shared" si="23"/>
        <v>44155</v>
      </c>
      <c r="AZ26" s="34">
        <f t="shared" si="24"/>
        <v>6</v>
      </c>
      <c r="BA26" s="35" t="str">
        <f t="shared" si="8"/>
        <v>S</v>
      </c>
      <c r="BB26" s="189"/>
      <c r="BC26" s="189"/>
      <c r="BD26" s="189"/>
      <c r="BE26" s="189"/>
      <c r="BF26" s="189"/>
      <c r="BG26" s="142">
        <f t="shared" si="25"/>
        <v>44185</v>
      </c>
      <c r="BH26" s="34">
        <f t="shared" si="26"/>
        <v>1</v>
      </c>
      <c r="BI26" s="35" t="str">
        <f t="shared" si="9"/>
        <v>D</v>
      </c>
      <c r="BJ26" s="189"/>
      <c r="BK26" s="189"/>
      <c r="BL26" s="189"/>
      <c r="BM26" s="189"/>
      <c r="BN26" s="189"/>
      <c r="BO26" s="142">
        <f t="shared" si="27"/>
        <v>44275</v>
      </c>
      <c r="BP26" s="34">
        <f t="shared" si="28"/>
        <v>7</v>
      </c>
      <c r="BQ26" s="35" t="str">
        <f t="shared" si="10"/>
        <v>S</v>
      </c>
      <c r="BR26" s="189"/>
      <c r="BS26" s="189"/>
      <c r="BT26" s="189"/>
      <c r="BU26" s="189"/>
      <c r="BV26" s="189"/>
      <c r="BW26" s="142">
        <f t="shared" si="29"/>
        <v>44397</v>
      </c>
      <c r="BX26" s="34">
        <f t="shared" si="30"/>
        <v>3</v>
      </c>
      <c r="BY26" s="35" t="str">
        <f t="shared" si="11"/>
        <v>T</v>
      </c>
      <c r="BZ26" s="189"/>
      <c r="CA26" s="189"/>
      <c r="CB26" s="189"/>
      <c r="CC26" s="189"/>
      <c r="CD26" s="189"/>
      <c r="CE26" s="142">
        <f t="shared" si="31"/>
        <v>44520</v>
      </c>
      <c r="CF26" s="34">
        <f t="shared" si="32"/>
        <v>7</v>
      </c>
      <c r="CG26" s="35" t="str">
        <f t="shared" si="12"/>
        <v>S</v>
      </c>
      <c r="CH26" s="189"/>
      <c r="CI26" s="189"/>
      <c r="CJ26" s="189"/>
      <c r="CK26" s="189"/>
      <c r="CL26" s="189"/>
      <c r="CM26" s="142">
        <f t="shared" si="33"/>
        <v>44550</v>
      </c>
      <c r="CN26" s="34">
        <f t="shared" si="34"/>
        <v>2</v>
      </c>
      <c r="CO26" s="80" t="s">
        <v>109</v>
      </c>
    </row>
    <row r="27" spans="2:93" s="80" customFormat="1" ht="20.25" customHeight="1" thickBot="1" x14ac:dyDescent="0.3">
      <c r="B27" s="32">
        <v>21</v>
      </c>
      <c r="C27" s="33">
        <f t="shared" si="13"/>
        <v>43972</v>
      </c>
      <c r="D27" s="143">
        <f t="shared" si="1"/>
        <v>5</v>
      </c>
      <c r="E27" s="147" t="str">
        <f t="shared" si="2"/>
        <v>Q</v>
      </c>
      <c r="F27" s="189"/>
      <c r="G27" s="189"/>
      <c r="H27" s="189"/>
      <c r="I27" s="189"/>
      <c r="J27" s="189"/>
      <c r="K27" s="142">
        <f t="shared" si="14"/>
        <v>44003</v>
      </c>
      <c r="L27" s="34">
        <f t="shared" si="15"/>
        <v>1</v>
      </c>
      <c r="M27" s="35" t="str">
        <f t="shared" si="3"/>
        <v>D</v>
      </c>
      <c r="N27" s="188"/>
      <c r="O27" s="188"/>
      <c r="P27" s="188"/>
      <c r="Q27" s="188"/>
      <c r="R27" s="188"/>
      <c r="S27" s="142">
        <f t="shared" si="16"/>
        <v>44033</v>
      </c>
      <c r="T27" s="34">
        <f t="shared" si="17"/>
        <v>3</v>
      </c>
      <c r="U27" s="35" t="str">
        <f t="shared" si="4"/>
        <v>T</v>
      </c>
      <c r="V27" s="188"/>
      <c r="W27" s="188"/>
      <c r="X27" s="188"/>
      <c r="Y27" s="188"/>
      <c r="Z27" s="188"/>
      <c r="AA27" s="142">
        <f t="shared" si="35"/>
        <v>44064</v>
      </c>
      <c r="AB27" s="34">
        <f t="shared" si="18"/>
        <v>6</v>
      </c>
      <c r="AC27" s="35" t="str">
        <f t="shared" si="5"/>
        <v>S</v>
      </c>
      <c r="AD27" s="188"/>
      <c r="AE27" s="188"/>
      <c r="AF27" s="188"/>
      <c r="AG27" s="188"/>
      <c r="AH27" s="189"/>
      <c r="AI27" s="142">
        <f t="shared" si="19"/>
        <v>44095</v>
      </c>
      <c r="AJ27" s="34">
        <f t="shared" si="20"/>
        <v>2</v>
      </c>
      <c r="AK27" s="35" t="str">
        <f t="shared" si="6"/>
        <v>S</v>
      </c>
      <c r="AL27" s="189"/>
      <c r="AM27" s="189"/>
      <c r="AN27" s="189"/>
      <c r="AO27" s="189"/>
      <c r="AP27" s="189"/>
      <c r="AQ27" s="142">
        <f t="shared" si="21"/>
        <v>44125</v>
      </c>
      <c r="AR27" s="34">
        <f t="shared" si="22"/>
        <v>4</v>
      </c>
      <c r="AS27" s="35" t="str">
        <f t="shared" si="7"/>
        <v>Q</v>
      </c>
      <c r="AT27" s="189"/>
      <c r="AU27" s="189"/>
      <c r="AV27" s="189"/>
      <c r="AW27" s="189"/>
      <c r="AX27" s="189"/>
      <c r="AY27" s="142">
        <f t="shared" si="23"/>
        <v>44156</v>
      </c>
      <c r="AZ27" s="34">
        <f t="shared" si="24"/>
        <v>7</v>
      </c>
      <c r="BA27" s="35" t="str">
        <f t="shared" si="8"/>
        <v>S</v>
      </c>
      <c r="BB27" s="189"/>
      <c r="BC27" s="189"/>
      <c r="BD27" s="189"/>
      <c r="BE27" s="189"/>
      <c r="BF27" s="189"/>
      <c r="BG27" s="142">
        <f t="shared" si="25"/>
        <v>44186</v>
      </c>
      <c r="BH27" s="34">
        <f t="shared" si="26"/>
        <v>2</v>
      </c>
      <c r="BI27" s="35" t="str">
        <f t="shared" si="9"/>
        <v>S</v>
      </c>
      <c r="BJ27" s="189"/>
      <c r="BK27" s="189"/>
      <c r="BL27" s="189"/>
      <c r="BM27" s="189"/>
      <c r="BN27" s="189"/>
      <c r="BO27" s="142">
        <f t="shared" si="27"/>
        <v>44276</v>
      </c>
      <c r="BP27" s="34">
        <f t="shared" si="28"/>
        <v>1</v>
      </c>
      <c r="BQ27" s="35" t="str">
        <f t="shared" si="10"/>
        <v>D</v>
      </c>
      <c r="BR27" s="189"/>
      <c r="BS27" s="189"/>
      <c r="BT27" s="189"/>
      <c r="BU27" s="189"/>
      <c r="BV27" s="189"/>
      <c r="BW27" s="142">
        <f t="shared" si="29"/>
        <v>44398</v>
      </c>
      <c r="BX27" s="34">
        <f t="shared" si="30"/>
        <v>4</v>
      </c>
      <c r="BY27" s="35" t="str">
        <f t="shared" si="11"/>
        <v>Q</v>
      </c>
      <c r="BZ27" s="189"/>
      <c r="CA27" s="189"/>
      <c r="CB27" s="189"/>
      <c r="CC27" s="189"/>
      <c r="CD27" s="189"/>
      <c r="CE27" s="142">
        <f t="shared" si="31"/>
        <v>44521</v>
      </c>
      <c r="CF27" s="34">
        <f t="shared" si="32"/>
        <v>1</v>
      </c>
      <c r="CG27" s="35" t="str">
        <f t="shared" si="12"/>
        <v>D</v>
      </c>
      <c r="CH27" s="189"/>
      <c r="CI27" s="189"/>
      <c r="CJ27" s="189"/>
      <c r="CK27" s="189"/>
      <c r="CL27" s="189"/>
      <c r="CM27" s="142">
        <f t="shared" si="33"/>
        <v>44551</v>
      </c>
      <c r="CN27" s="34">
        <f t="shared" si="34"/>
        <v>3</v>
      </c>
      <c r="CO27" s="80" t="s">
        <v>109</v>
      </c>
    </row>
    <row r="28" spans="2:93" s="80" customFormat="1" ht="20.25" customHeight="1" thickBot="1" x14ac:dyDescent="0.3">
      <c r="B28" s="32">
        <v>22</v>
      </c>
      <c r="C28" s="33">
        <f t="shared" si="13"/>
        <v>43973</v>
      </c>
      <c r="D28" s="143">
        <f t="shared" si="1"/>
        <v>6</v>
      </c>
      <c r="E28" s="147" t="str">
        <f t="shared" si="2"/>
        <v>S</v>
      </c>
      <c r="F28" s="189"/>
      <c r="G28" s="189"/>
      <c r="H28" s="189"/>
      <c r="I28" s="189"/>
      <c r="J28" s="189"/>
      <c r="K28" s="142">
        <f t="shared" si="14"/>
        <v>44004</v>
      </c>
      <c r="L28" s="34">
        <f t="shared" si="15"/>
        <v>2</v>
      </c>
      <c r="M28" s="35" t="str">
        <f t="shared" si="3"/>
        <v>S</v>
      </c>
      <c r="N28" s="188"/>
      <c r="O28" s="188"/>
      <c r="P28" s="188"/>
      <c r="Q28" s="188"/>
      <c r="R28" s="188"/>
      <c r="S28" s="142">
        <f t="shared" si="16"/>
        <v>44034</v>
      </c>
      <c r="T28" s="34">
        <f t="shared" si="17"/>
        <v>4</v>
      </c>
      <c r="U28" s="35" t="str">
        <f t="shared" si="4"/>
        <v>Q</v>
      </c>
      <c r="V28" s="188"/>
      <c r="W28" s="188"/>
      <c r="X28" s="188"/>
      <c r="Y28" s="188"/>
      <c r="Z28" s="188"/>
      <c r="AA28" s="142">
        <f t="shared" si="35"/>
        <v>44065</v>
      </c>
      <c r="AB28" s="34">
        <f t="shared" si="18"/>
        <v>7</v>
      </c>
      <c r="AC28" s="35" t="str">
        <f t="shared" si="5"/>
        <v>S</v>
      </c>
      <c r="AD28" s="188"/>
      <c r="AE28" s="188"/>
      <c r="AF28" s="188"/>
      <c r="AG28" s="188"/>
      <c r="AH28" s="189"/>
      <c r="AI28" s="142">
        <f t="shared" si="19"/>
        <v>44096</v>
      </c>
      <c r="AJ28" s="34">
        <f t="shared" si="20"/>
        <v>3</v>
      </c>
      <c r="AK28" s="35" t="str">
        <f t="shared" si="6"/>
        <v>T</v>
      </c>
      <c r="AL28" s="189"/>
      <c r="AM28" s="189"/>
      <c r="AN28" s="189"/>
      <c r="AO28" s="189"/>
      <c r="AP28" s="189"/>
      <c r="AQ28" s="142">
        <f t="shared" si="21"/>
        <v>44126</v>
      </c>
      <c r="AR28" s="34">
        <f t="shared" si="22"/>
        <v>5</v>
      </c>
      <c r="AS28" s="35" t="str">
        <f t="shared" si="7"/>
        <v>Q</v>
      </c>
      <c r="AT28" s="189"/>
      <c r="AU28" s="189"/>
      <c r="AV28" s="189"/>
      <c r="AW28" s="189"/>
      <c r="AX28" s="189"/>
      <c r="AY28" s="142">
        <f t="shared" si="23"/>
        <v>44157</v>
      </c>
      <c r="AZ28" s="34">
        <f t="shared" si="24"/>
        <v>1</v>
      </c>
      <c r="BA28" s="35" t="str">
        <f t="shared" si="8"/>
        <v>D</v>
      </c>
      <c r="BB28" s="189"/>
      <c r="BC28" s="189"/>
      <c r="BD28" s="189"/>
      <c r="BE28" s="189"/>
      <c r="BF28" s="189"/>
      <c r="BG28" s="142">
        <f t="shared" si="25"/>
        <v>44187</v>
      </c>
      <c r="BH28" s="34">
        <f t="shared" si="26"/>
        <v>3</v>
      </c>
      <c r="BI28" s="35" t="str">
        <f t="shared" si="9"/>
        <v>T</v>
      </c>
      <c r="BJ28" s="189"/>
      <c r="BK28" s="189"/>
      <c r="BL28" s="189"/>
      <c r="BM28" s="189"/>
      <c r="BN28" s="189"/>
      <c r="BO28" s="142">
        <f t="shared" si="27"/>
        <v>44277</v>
      </c>
      <c r="BP28" s="34">
        <f t="shared" si="28"/>
        <v>2</v>
      </c>
      <c r="BQ28" s="35" t="str">
        <f t="shared" si="10"/>
        <v>S</v>
      </c>
      <c r="BR28" s="189"/>
      <c r="BS28" s="189"/>
      <c r="BT28" s="189"/>
      <c r="BU28" s="189"/>
      <c r="BV28" s="189"/>
      <c r="BW28" s="142">
        <f t="shared" si="29"/>
        <v>44399</v>
      </c>
      <c r="BX28" s="34">
        <f t="shared" si="30"/>
        <v>5</v>
      </c>
      <c r="BY28" s="35" t="str">
        <f t="shared" si="11"/>
        <v>Q</v>
      </c>
      <c r="BZ28" s="189"/>
      <c r="CA28" s="189"/>
      <c r="CB28" s="189"/>
      <c r="CC28" s="189"/>
      <c r="CD28" s="189"/>
      <c r="CE28" s="142">
        <f t="shared" si="31"/>
        <v>44522</v>
      </c>
      <c r="CF28" s="34">
        <f t="shared" si="32"/>
        <v>2</v>
      </c>
      <c r="CG28" s="35" t="str">
        <f t="shared" si="12"/>
        <v>S</v>
      </c>
      <c r="CH28" s="189"/>
      <c r="CI28" s="189"/>
      <c r="CJ28" s="189"/>
      <c r="CK28" s="189"/>
      <c r="CL28" s="189"/>
      <c r="CM28" s="142">
        <f t="shared" si="33"/>
        <v>44552</v>
      </c>
      <c r="CN28" s="34">
        <f t="shared" si="34"/>
        <v>4</v>
      </c>
      <c r="CO28" s="80" t="s">
        <v>109</v>
      </c>
    </row>
    <row r="29" spans="2:93" s="80" customFormat="1" ht="20.25" customHeight="1" thickBot="1" x14ac:dyDescent="0.3">
      <c r="B29" s="32">
        <v>23</v>
      </c>
      <c r="C29" s="33">
        <f t="shared" si="13"/>
        <v>43974</v>
      </c>
      <c r="D29" s="143">
        <f t="shared" si="1"/>
        <v>7</v>
      </c>
      <c r="E29" s="147" t="str">
        <f t="shared" si="2"/>
        <v>S</v>
      </c>
      <c r="F29" s="189"/>
      <c r="G29" s="189"/>
      <c r="H29" s="189"/>
      <c r="I29" s="189"/>
      <c r="J29" s="189"/>
      <c r="K29" s="142">
        <f t="shared" si="14"/>
        <v>44005</v>
      </c>
      <c r="L29" s="34">
        <f t="shared" si="15"/>
        <v>3</v>
      </c>
      <c r="M29" s="35" t="str">
        <f t="shared" si="3"/>
        <v>T</v>
      </c>
      <c r="N29" s="188"/>
      <c r="O29" s="188"/>
      <c r="P29" s="188"/>
      <c r="Q29" s="188"/>
      <c r="R29" s="188"/>
      <c r="S29" s="142">
        <f t="shared" si="16"/>
        <v>44035</v>
      </c>
      <c r="T29" s="34">
        <f t="shared" si="17"/>
        <v>5</v>
      </c>
      <c r="U29" s="35" t="str">
        <f t="shared" si="4"/>
        <v>Q</v>
      </c>
      <c r="V29" s="188"/>
      <c r="W29" s="188"/>
      <c r="X29" s="188"/>
      <c r="Y29" s="188"/>
      <c r="Z29" s="188"/>
      <c r="AA29" s="142">
        <f t="shared" si="35"/>
        <v>44066</v>
      </c>
      <c r="AB29" s="34">
        <f t="shared" si="18"/>
        <v>1</v>
      </c>
      <c r="AC29" s="35" t="str">
        <f t="shared" si="5"/>
        <v>D</v>
      </c>
      <c r="AD29" s="188"/>
      <c r="AE29" s="188"/>
      <c r="AF29" s="188"/>
      <c r="AG29" s="188"/>
      <c r="AH29" s="189"/>
      <c r="AI29" s="142">
        <f t="shared" si="19"/>
        <v>44097</v>
      </c>
      <c r="AJ29" s="34">
        <f t="shared" si="20"/>
        <v>4</v>
      </c>
      <c r="AK29" s="35" t="str">
        <f t="shared" si="6"/>
        <v>Q</v>
      </c>
      <c r="AL29" s="189"/>
      <c r="AM29" s="189"/>
      <c r="AN29" s="189"/>
      <c r="AO29" s="189"/>
      <c r="AP29" s="189"/>
      <c r="AQ29" s="142">
        <f t="shared" si="21"/>
        <v>44127</v>
      </c>
      <c r="AR29" s="34">
        <f t="shared" si="22"/>
        <v>6</v>
      </c>
      <c r="AS29" s="35" t="str">
        <f t="shared" si="7"/>
        <v>S</v>
      </c>
      <c r="AT29" s="189"/>
      <c r="AU29" s="189"/>
      <c r="AV29" s="189"/>
      <c r="AW29" s="189"/>
      <c r="AX29" s="189"/>
      <c r="AY29" s="142">
        <f t="shared" si="23"/>
        <v>44158</v>
      </c>
      <c r="AZ29" s="34">
        <f t="shared" si="24"/>
        <v>2</v>
      </c>
      <c r="BA29" s="35" t="str">
        <f t="shared" si="8"/>
        <v>S</v>
      </c>
      <c r="BB29" s="189"/>
      <c r="BC29" s="189"/>
      <c r="BD29" s="189"/>
      <c r="BE29" s="189"/>
      <c r="BF29" s="189"/>
      <c r="BG29" s="142">
        <f t="shared" si="25"/>
        <v>44188</v>
      </c>
      <c r="BH29" s="34">
        <f t="shared" si="26"/>
        <v>4</v>
      </c>
      <c r="BI29" s="35" t="str">
        <f t="shared" si="9"/>
        <v>Q</v>
      </c>
      <c r="BJ29" s="189"/>
      <c r="BK29" s="189"/>
      <c r="BL29" s="189"/>
      <c r="BM29" s="189"/>
      <c r="BN29" s="189"/>
      <c r="BO29" s="142">
        <f t="shared" si="27"/>
        <v>44278</v>
      </c>
      <c r="BP29" s="34">
        <f t="shared" si="28"/>
        <v>3</v>
      </c>
      <c r="BQ29" s="35" t="str">
        <f t="shared" si="10"/>
        <v>T</v>
      </c>
      <c r="BR29" s="189"/>
      <c r="BS29" s="189"/>
      <c r="BT29" s="189"/>
      <c r="BU29" s="189"/>
      <c r="BV29" s="189"/>
      <c r="BW29" s="142">
        <f t="shared" si="29"/>
        <v>44400</v>
      </c>
      <c r="BX29" s="34">
        <f t="shared" si="30"/>
        <v>6</v>
      </c>
      <c r="BY29" s="35" t="str">
        <f t="shared" si="11"/>
        <v>S</v>
      </c>
      <c r="BZ29" s="189"/>
      <c r="CA29" s="189"/>
      <c r="CB29" s="189"/>
      <c r="CC29" s="189"/>
      <c r="CD29" s="189"/>
      <c r="CE29" s="142">
        <f t="shared" si="31"/>
        <v>44523</v>
      </c>
      <c r="CF29" s="34">
        <f t="shared" si="32"/>
        <v>3</v>
      </c>
      <c r="CG29" s="35" t="str">
        <f t="shared" si="12"/>
        <v>T</v>
      </c>
      <c r="CH29" s="189"/>
      <c r="CI29" s="189"/>
      <c r="CJ29" s="189"/>
      <c r="CK29" s="189"/>
      <c r="CL29" s="189"/>
      <c r="CM29" s="142">
        <f t="shared" si="33"/>
        <v>44553</v>
      </c>
      <c r="CN29" s="34">
        <f t="shared" si="34"/>
        <v>5</v>
      </c>
      <c r="CO29" s="80" t="s">
        <v>109</v>
      </c>
    </row>
    <row r="30" spans="2:93" s="80" customFormat="1" ht="20.25" customHeight="1" thickBot="1" x14ac:dyDescent="0.3">
      <c r="B30" s="32">
        <v>24</v>
      </c>
      <c r="C30" s="33">
        <f t="shared" si="13"/>
        <v>43975</v>
      </c>
      <c r="D30" s="143">
        <f t="shared" si="1"/>
        <v>1</v>
      </c>
      <c r="E30" s="147" t="str">
        <f t="shared" si="2"/>
        <v>D</v>
      </c>
      <c r="F30" s="189"/>
      <c r="G30" s="189"/>
      <c r="I30" s="224"/>
      <c r="J30" s="189"/>
      <c r="K30" s="142">
        <f t="shared" si="14"/>
        <v>44006</v>
      </c>
      <c r="L30" s="34">
        <f t="shared" si="15"/>
        <v>4</v>
      </c>
      <c r="M30" s="35" t="str">
        <f t="shared" si="3"/>
        <v>Q</v>
      </c>
      <c r="N30" s="188"/>
      <c r="O30" s="188"/>
      <c r="P30" s="188"/>
      <c r="Q30" s="188"/>
      <c r="R30" s="188"/>
      <c r="S30" s="142">
        <f t="shared" si="16"/>
        <v>44036</v>
      </c>
      <c r="T30" s="34">
        <f t="shared" si="17"/>
        <v>6</v>
      </c>
      <c r="U30" s="35" t="str">
        <f t="shared" si="4"/>
        <v>S</v>
      </c>
      <c r="V30" s="188"/>
      <c r="W30" s="188"/>
      <c r="X30" s="188"/>
      <c r="Y30" s="188"/>
      <c r="Z30" s="188"/>
      <c r="AA30" s="142">
        <f t="shared" si="35"/>
        <v>44067</v>
      </c>
      <c r="AB30" s="34">
        <f t="shared" si="18"/>
        <v>2</v>
      </c>
      <c r="AC30" s="35" t="str">
        <f t="shared" si="5"/>
        <v>S</v>
      </c>
      <c r="AD30" s="188"/>
      <c r="AE30" s="188"/>
      <c r="AF30" s="188"/>
      <c r="AG30" s="188"/>
      <c r="AH30" s="189"/>
      <c r="AI30" s="142">
        <f t="shared" si="19"/>
        <v>44098</v>
      </c>
      <c r="AJ30" s="34">
        <f t="shared" si="20"/>
        <v>5</v>
      </c>
      <c r="AK30" s="35" t="str">
        <f t="shared" si="6"/>
        <v>Q</v>
      </c>
      <c r="AL30" s="189"/>
      <c r="AM30" s="189"/>
      <c r="AN30" s="189"/>
      <c r="AO30" s="189"/>
      <c r="AP30" s="189"/>
      <c r="AQ30" s="142">
        <f t="shared" si="21"/>
        <v>44128</v>
      </c>
      <c r="AR30" s="34">
        <f t="shared" si="22"/>
        <v>7</v>
      </c>
      <c r="AS30" s="35" t="str">
        <f t="shared" si="7"/>
        <v>S</v>
      </c>
      <c r="AT30" s="189"/>
      <c r="AU30" s="189"/>
      <c r="AV30" s="189"/>
      <c r="AW30" s="189"/>
      <c r="AX30" s="189"/>
      <c r="AY30" s="142">
        <f t="shared" si="23"/>
        <v>44159</v>
      </c>
      <c r="AZ30" s="34">
        <f t="shared" si="24"/>
        <v>3</v>
      </c>
      <c r="BA30" s="35" t="str">
        <f t="shared" si="8"/>
        <v>T</v>
      </c>
      <c r="BB30" s="189"/>
      <c r="BC30" s="189"/>
      <c r="BD30" s="189"/>
      <c r="BE30" s="189"/>
      <c r="BF30" s="189"/>
      <c r="BG30" s="142">
        <f t="shared" si="25"/>
        <v>44189</v>
      </c>
      <c r="BH30" s="34">
        <f t="shared" si="26"/>
        <v>5</v>
      </c>
      <c r="BI30" s="35" t="str">
        <f t="shared" si="9"/>
        <v>Q</v>
      </c>
      <c r="BJ30" s="189"/>
      <c r="BK30" s="189"/>
      <c r="BL30" s="189"/>
      <c r="BM30" s="189"/>
      <c r="BN30" s="189"/>
      <c r="BO30" s="142">
        <f t="shared" si="27"/>
        <v>44279</v>
      </c>
      <c r="BP30" s="34">
        <f t="shared" si="28"/>
        <v>4</v>
      </c>
      <c r="BQ30" s="35" t="str">
        <f t="shared" si="10"/>
        <v>Q</v>
      </c>
      <c r="BR30" s="189"/>
      <c r="BS30" s="189"/>
      <c r="BT30" s="189"/>
      <c r="BU30" s="189"/>
      <c r="BV30" s="189"/>
      <c r="BW30" s="142">
        <f t="shared" si="29"/>
        <v>44401</v>
      </c>
      <c r="BX30" s="34">
        <f t="shared" si="30"/>
        <v>7</v>
      </c>
      <c r="BY30" s="35" t="str">
        <f t="shared" si="11"/>
        <v>S</v>
      </c>
      <c r="BZ30" s="189"/>
      <c r="CA30" s="189"/>
      <c r="CB30" s="189"/>
      <c r="CC30" s="189"/>
      <c r="CD30" s="189"/>
      <c r="CE30" s="142">
        <f t="shared" si="31"/>
        <v>44524</v>
      </c>
      <c r="CF30" s="34">
        <f t="shared" si="32"/>
        <v>4</v>
      </c>
      <c r="CG30" s="35" t="str">
        <f t="shared" si="12"/>
        <v>Q</v>
      </c>
      <c r="CH30" s="189"/>
      <c r="CI30" s="189"/>
      <c r="CJ30" s="189"/>
      <c r="CK30" s="189"/>
      <c r="CL30" s="189"/>
      <c r="CM30" s="142">
        <f t="shared" si="33"/>
        <v>44554</v>
      </c>
      <c r="CN30" s="34">
        <f t="shared" si="34"/>
        <v>6</v>
      </c>
      <c r="CO30" s="80" t="s">
        <v>109</v>
      </c>
    </row>
    <row r="31" spans="2:93" s="80" customFormat="1" ht="15.75" customHeight="1" thickBot="1" x14ac:dyDescent="0.3">
      <c r="B31" s="32">
        <v>25</v>
      </c>
      <c r="C31" s="33">
        <f t="shared" si="13"/>
        <v>43976</v>
      </c>
      <c r="D31" s="143">
        <f t="shared" si="1"/>
        <v>2</v>
      </c>
      <c r="E31" s="147" t="str">
        <f t="shared" si="2"/>
        <v>S</v>
      </c>
      <c r="F31" s="189"/>
      <c r="G31" s="189"/>
      <c r="H31" s="189"/>
      <c r="I31" s="191"/>
      <c r="J31" s="189"/>
      <c r="K31" s="142">
        <f t="shared" si="14"/>
        <v>44007</v>
      </c>
      <c r="L31" s="34">
        <f t="shared" si="15"/>
        <v>5</v>
      </c>
      <c r="M31" s="35" t="str">
        <f t="shared" si="3"/>
        <v>Q</v>
      </c>
      <c r="N31" s="188"/>
      <c r="O31" s="188"/>
      <c r="P31" s="188"/>
      <c r="Q31" s="188"/>
      <c r="R31" s="188"/>
      <c r="S31" s="142">
        <f t="shared" si="16"/>
        <v>44037</v>
      </c>
      <c r="T31" s="34">
        <f t="shared" si="17"/>
        <v>7</v>
      </c>
      <c r="U31" s="35" t="str">
        <f t="shared" si="4"/>
        <v>S</v>
      </c>
      <c r="V31" s="188"/>
      <c r="W31" s="188"/>
      <c r="X31" s="188"/>
      <c r="Y31" s="188"/>
      <c r="Z31" s="188"/>
      <c r="AA31" s="142">
        <f t="shared" si="35"/>
        <v>44068</v>
      </c>
      <c r="AB31" s="34">
        <f t="shared" si="18"/>
        <v>3</v>
      </c>
      <c r="AC31" s="35" t="str">
        <f t="shared" si="5"/>
        <v>T</v>
      </c>
      <c r="AD31" s="188"/>
      <c r="AE31" s="188"/>
      <c r="AF31" s="188"/>
      <c r="AG31" s="188"/>
      <c r="AH31" s="189"/>
      <c r="AI31" s="142">
        <f t="shared" si="19"/>
        <v>44099</v>
      </c>
      <c r="AJ31" s="34">
        <f t="shared" si="20"/>
        <v>6</v>
      </c>
      <c r="AK31" s="35" t="str">
        <f t="shared" si="6"/>
        <v>S</v>
      </c>
      <c r="AL31" s="189"/>
      <c r="AM31" s="189"/>
      <c r="AN31" s="189"/>
      <c r="AO31" s="191"/>
      <c r="AP31" s="189"/>
      <c r="AQ31" s="142">
        <f t="shared" si="21"/>
        <v>44129</v>
      </c>
      <c r="AR31" s="34">
        <f t="shared" si="22"/>
        <v>1</v>
      </c>
      <c r="AS31" s="35" t="str">
        <f t="shared" si="7"/>
        <v>D</v>
      </c>
      <c r="AT31" s="189"/>
      <c r="AU31" s="189"/>
      <c r="AV31" s="189"/>
      <c r="AW31" s="191"/>
      <c r="AX31" s="189"/>
      <c r="AY31" s="142">
        <f t="shared" si="23"/>
        <v>44160</v>
      </c>
      <c r="AZ31" s="34">
        <f t="shared" si="24"/>
        <v>4</v>
      </c>
      <c r="BA31" s="35" t="str">
        <f t="shared" si="8"/>
        <v>Q</v>
      </c>
      <c r="BB31" s="189"/>
      <c r="BC31" s="189"/>
      <c r="BD31" s="189"/>
      <c r="BE31" s="191"/>
      <c r="BF31" s="189"/>
      <c r="BG31" s="142">
        <f t="shared" si="25"/>
        <v>44190</v>
      </c>
      <c r="BH31" s="34">
        <f t="shared" si="26"/>
        <v>6</v>
      </c>
      <c r="BI31" s="35" t="str">
        <f t="shared" si="9"/>
        <v>S</v>
      </c>
      <c r="BJ31" s="189"/>
      <c r="BK31" s="189"/>
      <c r="BL31" s="189"/>
      <c r="BM31" s="191"/>
      <c r="BN31" s="189"/>
      <c r="BO31" s="142">
        <f t="shared" si="27"/>
        <v>44280</v>
      </c>
      <c r="BP31" s="34">
        <f t="shared" si="28"/>
        <v>5</v>
      </c>
      <c r="BQ31" s="35" t="str">
        <f t="shared" si="10"/>
        <v>Q</v>
      </c>
      <c r="BR31" s="189"/>
      <c r="BS31" s="189"/>
      <c r="BT31" s="189"/>
      <c r="BU31" s="191"/>
      <c r="BV31" s="189"/>
      <c r="BW31" s="142">
        <f t="shared" si="29"/>
        <v>44402</v>
      </c>
      <c r="BX31" s="34">
        <f t="shared" si="30"/>
        <v>1</v>
      </c>
      <c r="BY31" s="35" t="str">
        <f t="shared" si="11"/>
        <v>D</v>
      </c>
      <c r="BZ31" s="189"/>
      <c r="CA31" s="189"/>
      <c r="CB31" s="189"/>
      <c r="CC31" s="191"/>
      <c r="CD31" s="189"/>
      <c r="CE31" s="142">
        <f t="shared" si="31"/>
        <v>44525</v>
      </c>
      <c r="CF31" s="34">
        <f t="shared" si="32"/>
        <v>5</v>
      </c>
      <c r="CG31" s="35" t="str">
        <f t="shared" si="12"/>
        <v>Q</v>
      </c>
      <c r="CH31" s="189"/>
      <c r="CI31" s="189"/>
      <c r="CJ31" s="189"/>
      <c r="CK31" s="191"/>
      <c r="CL31" s="189"/>
      <c r="CM31" s="142">
        <f t="shared" si="33"/>
        <v>44555</v>
      </c>
      <c r="CN31" s="34">
        <f t="shared" si="34"/>
        <v>7</v>
      </c>
      <c r="CO31" s="80" t="s">
        <v>109</v>
      </c>
    </row>
    <row r="32" spans="2:93" s="80" customFormat="1" ht="20.25" customHeight="1" thickBot="1" x14ac:dyDescent="0.3">
      <c r="B32" s="32">
        <v>26</v>
      </c>
      <c r="C32" s="33">
        <f t="shared" si="13"/>
        <v>43977</v>
      </c>
      <c r="D32" s="143">
        <f t="shared" si="1"/>
        <v>3</v>
      </c>
      <c r="E32" s="147" t="str">
        <f t="shared" si="2"/>
        <v>T</v>
      </c>
      <c r="F32" s="189"/>
      <c r="G32" s="189"/>
      <c r="H32" s="188"/>
      <c r="I32" s="188"/>
      <c r="J32" s="189"/>
      <c r="K32" s="142">
        <f t="shared" si="14"/>
        <v>44008</v>
      </c>
      <c r="L32" s="34">
        <f t="shared" si="15"/>
        <v>6</v>
      </c>
      <c r="M32" s="35" t="str">
        <f t="shared" si="3"/>
        <v>S</v>
      </c>
      <c r="N32" s="188"/>
      <c r="O32" s="188"/>
      <c r="P32" s="188"/>
      <c r="Q32" s="188"/>
      <c r="R32" s="188"/>
      <c r="S32" s="142">
        <f t="shared" si="16"/>
        <v>44038</v>
      </c>
      <c r="T32" s="34">
        <f t="shared" si="17"/>
        <v>1</v>
      </c>
      <c r="U32" s="35" t="str">
        <f t="shared" si="4"/>
        <v>D</v>
      </c>
      <c r="V32" s="188"/>
      <c r="W32" s="188"/>
      <c r="X32" s="188"/>
      <c r="Y32" s="188"/>
      <c r="Z32" s="188"/>
      <c r="AA32" s="142">
        <f t="shared" si="35"/>
        <v>44069</v>
      </c>
      <c r="AB32" s="34">
        <f t="shared" si="18"/>
        <v>4</v>
      </c>
      <c r="AC32" s="35" t="str">
        <f t="shared" si="5"/>
        <v>Q</v>
      </c>
      <c r="AD32" s="188"/>
      <c r="AE32" s="188"/>
      <c r="AF32" s="188"/>
      <c r="AG32" s="188"/>
      <c r="AH32" s="189"/>
      <c r="AI32" s="142">
        <f t="shared" si="19"/>
        <v>44100</v>
      </c>
      <c r="AJ32" s="34">
        <f t="shared" si="20"/>
        <v>7</v>
      </c>
      <c r="AK32" s="35" t="str">
        <f t="shared" si="6"/>
        <v>S</v>
      </c>
      <c r="AL32" s="189"/>
      <c r="AM32" s="189"/>
      <c r="AN32" s="189"/>
      <c r="AO32" s="189"/>
      <c r="AP32" s="189"/>
      <c r="AQ32" s="142">
        <f t="shared" si="21"/>
        <v>44130</v>
      </c>
      <c r="AR32" s="34">
        <f t="shared" si="22"/>
        <v>2</v>
      </c>
      <c r="AS32" s="35" t="str">
        <f t="shared" si="7"/>
        <v>S</v>
      </c>
      <c r="AT32" s="189"/>
      <c r="AU32" s="189"/>
      <c r="AV32" s="189"/>
      <c r="AW32" s="189"/>
      <c r="AX32" s="189"/>
      <c r="AY32" s="142">
        <f t="shared" si="23"/>
        <v>44161</v>
      </c>
      <c r="AZ32" s="34">
        <f t="shared" si="24"/>
        <v>5</v>
      </c>
      <c r="BA32" s="35" t="str">
        <f t="shared" si="8"/>
        <v>Q</v>
      </c>
      <c r="BB32" s="189"/>
      <c r="BC32" s="189"/>
      <c r="BD32" s="189"/>
      <c r="BE32" s="189"/>
      <c r="BF32" s="189"/>
      <c r="BG32" s="142">
        <f t="shared" si="25"/>
        <v>44191</v>
      </c>
      <c r="BH32" s="34">
        <f t="shared" si="26"/>
        <v>7</v>
      </c>
      <c r="BI32" s="35" t="str">
        <f t="shared" si="9"/>
        <v>S</v>
      </c>
      <c r="BJ32" s="189"/>
      <c r="BK32" s="189"/>
      <c r="BL32" s="189"/>
      <c r="BM32" s="189"/>
      <c r="BN32" s="189"/>
      <c r="BO32" s="142">
        <f t="shared" si="27"/>
        <v>44281</v>
      </c>
      <c r="BP32" s="34">
        <f t="shared" si="28"/>
        <v>6</v>
      </c>
      <c r="BQ32" s="35" t="str">
        <f t="shared" si="10"/>
        <v>S</v>
      </c>
      <c r="BR32" s="189"/>
      <c r="BS32" s="189"/>
      <c r="BT32" s="189"/>
      <c r="BU32" s="189"/>
      <c r="BV32" s="189"/>
      <c r="BW32" s="142">
        <f t="shared" si="29"/>
        <v>44403</v>
      </c>
      <c r="BX32" s="34">
        <f t="shared" si="30"/>
        <v>2</v>
      </c>
      <c r="BY32" s="35" t="str">
        <f t="shared" si="11"/>
        <v>S</v>
      </c>
      <c r="BZ32" s="189"/>
      <c r="CA32" s="189"/>
      <c r="CB32" s="189"/>
      <c r="CC32" s="189"/>
      <c r="CD32" s="189"/>
      <c r="CE32" s="142">
        <f t="shared" si="31"/>
        <v>44526</v>
      </c>
      <c r="CF32" s="34">
        <f t="shared" si="32"/>
        <v>6</v>
      </c>
      <c r="CG32" s="35" t="str">
        <f t="shared" si="12"/>
        <v>S</v>
      </c>
      <c r="CH32" s="189"/>
      <c r="CI32" s="189"/>
      <c r="CJ32" s="189"/>
      <c r="CK32" s="189"/>
      <c r="CL32" s="189"/>
      <c r="CM32" s="142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thickBot="1" x14ac:dyDescent="0.3">
      <c r="B33" s="32">
        <v>27</v>
      </c>
      <c r="C33" s="33">
        <f t="shared" si="13"/>
        <v>43978</v>
      </c>
      <c r="D33" s="143">
        <f t="shared" si="1"/>
        <v>4</v>
      </c>
      <c r="E33" s="147" t="str">
        <f t="shared" si="2"/>
        <v>Q</v>
      </c>
      <c r="F33" s="87">
        <v>8</v>
      </c>
      <c r="G33" s="188"/>
      <c r="H33" s="189"/>
      <c r="I33" s="188"/>
      <c r="J33" s="189"/>
      <c r="K33" s="142">
        <f t="shared" si="14"/>
        <v>44009</v>
      </c>
      <c r="L33" s="34">
        <f t="shared" si="15"/>
        <v>7</v>
      </c>
      <c r="M33" s="35" t="str">
        <f t="shared" si="3"/>
        <v>S</v>
      </c>
      <c r="N33" s="188"/>
      <c r="O33" s="188"/>
      <c r="P33" s="188"/>
      <c r="Q33" s="188"/>
      <c r="R33" s="188"/>
      <c r="S33" s="142">
        <f t="shared" si="16"/>
        <v>44039</v>
      </c>
      <c r="T33" s="34">
        <f t="shared" si="17"/>
        <v>2</v>
      </c>
      <c r="U33" s="35" t="str">
        <f t="shared" si="4"/>
        <v>S</v>
      </c>
      <c r="V33" s="188"/>
      <c r="W33" s="188"/>
      <c r="X33" s="188"/>
      <c r="Y33" s="188"/>
      <c r="Z33" s="188"/>
      <c r="AA33" s="142">
        <f t="shared" si="35"/>
        <v>44070</v>
      </c>
      <c r="AB33" s="34">
        <f t="shared" si="18"/>
        <v>5</v>
      </c>
      <c r="AC33" s="35" t="str">
        <f t="shared" si="5"/>
        <v>Q</v>
      </c>
      <c r="AD33" s="188"/>
      <c r="AE33" s="188"/>
      <c r="AF33" s="188"/>
      <c r="AG33" s="188"/>
      <c r="AH33" s="189"/>
      <c r="AI33" s="142">
        <f t="shared" si="19"/>
        <v>44101</v>
      </c>
      <c r="AJ33" s="34">
        <f t="shared" si="20"/>
        <v>1</v>
      </c>
      <c r="AK33" s="35" t="str">
        <f t="shared" si="6"/>
        <v>D</v>
      </c>
      <c r="AL33" s="189"/>
      <c r="AM33" s="189"/>
      <c r="AN33" s="189"/>
      <c r="AO33" s="189"/>
      <c r="AP33" s="189"/>
      <c r="AQ33" s="142">
        <f t="shared" si="21"/>
        <v>44131</v>
      </c>
      <c r="AR33" s="34">
        <f t="shared" si="22"/>
        <v>3</v>
      </c>
      <c r="AS33" s="35" t="str">
        <f t="shared" si="7"/>
        <v>T</v>
      </c>
      <c r="AT33" s="189"/>
      <c r="AU33" s="189"/>
      <c r="AV33" s="189"/>
      <c r="AW33" s="189"/>
      <c r="AX33" s="189"/>
      <c r="AY33" s="142">
        <f t="shared" si="23"/>
        <v>44162</v>
      </c>
      <c r="AZ33" s="34">
        <f t="shared" si="24"/>
        <v>6</v>
      </c>
      <c r="BA33" s="35" t="str">
        <f t="shared" si="8"/>
        <v>S</v>
      </c>
      <c r="BB33" s="189"/>
      <c r="BC33" s="189"/>
      <c r="BD33" s="189"/>
      <c r="BE33" s="189"/>
      <c r="BF33" s="189"/>
      <c r="BG33" s="142">
        <f t="shared" si="25"/>
        <v>44192</v>
      </c>
      <c r="BH33" s="34">
        <f t="shared" si="26"/>
        <v>1</v>
      </c>
      <c r="BI33" s="35" t="str">
        <f t="shared" si="9"/>
        <v>D</v>
      </c>
      <c r="BJ33" s="189"/>
      <c r="BK33" s="189"/>
      <c r="BL33" s="189"/>
      <c r="BM33" s="189"/>
      <c r="BN33" s="189"/>
      <c r="BO33" s="142">
        <f t="shared" si="27"/>
        <v>44282</v>
      </c>
      <c r="BP33" s="34">
        <f t="shared" si="28"/>
        <v>7</v>
      </c>
      <c r="BQ33" s="35" t="str">
        <f t="shared" si="10"/>
        <v>S</v>
      </c>
      <c r="BR33" s="189"/>
      <c r="BS33" s="189"/>
      <c r="BT33" s="189"/>
      <c r="BU33" s="189"/>
      <c r="BV33" s="189"/>
      <c r="BW33" s="142">
        <f t="shared" si="29"/>
        <v>44404</v>
      </c>
      <c r="BX33" s="34">
        <f t="shared" si="30"/>
        <v>3</v>
      </c>
      <c r="BY33" s="35" t="str">
        <f t="shared" si="11"/>
        <v>T</v>
      </c>
      <c r="BZ33" s="189"/>
      <c r="CA33" s="189"/>
      <c r="CB33" s="189"/>
      <c r="CC33" s="189"/>
      <c r="CD33" s="189"/>
      <c r="CE33" s="142">
        <f t="shared" si="31"/>
        <v>44527</v>
      </c>
      <c r="CF33" s="34">
        <f t="shared" si="32"/>
        <v>7</v>
      </c>
      <c r="CG33" s="35" t="str">
        <f t="shared" si="12"/>
        <v>S</v>
      </c>
      <c r="CH33" s="189"/>
      <c r="CI33" s="189"/>
      <c r="CJ33" s="189"/>
      <c r="CK33" s="189"/>
      <c r="CL33" s="189"/>
      <c r="CM33" s="142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thickBot="1" x14ac:dyDescent="0.3">
      <c r="B34" s="32">
        <v>28</v>
      </c>
      <c r="C34" s="33">
        <f t="shared" si="13"/>
        <v>43979</v>
      </c>
      <c r="D34" s="143">
        <f t="shared" si="1"/>
        <v>5</v>
      </c>
      <c r="E34" s="147" t="str">
        <f t="shared" si="2"/>
        <v>Q</v>
      </c>
      <c r="F34" s="189"/>
      <c r="G34" s="188"/>
      <c r="H34" s="188"/>
      <c r="I34" s="188"/>
      <c r="J34" s="189"/>
      <c r="K34" s="142">
        <f t="shared" si="14"/>
        <v>44010</v>
      </c>
      <c r="L34" s="34">
        <f t="shared" si="15"/>
        <v>1</v>
      </c>
      <c r="M34" s="35" t="str">
        <f t="shared" si="3"/>
        <v>D</v>
      </c>
      <c r="N34" s="189"/>
      <c r="O34" s="189"/>
      <c r="P34" s="189"/>
      <c r="Q34" s="189"/>
      <c r="R34" s="189"/>
      <c r="S34" s="142">
        <f t="shared" si="16"/>
        <v>44040</v>
      </c>
      <c r="T34" s="34">
        <f t="shared" si="17"/>
        <v>3</v>
      </c>
      <c r="U34" s="35" t="str">
        <f t="shared" si="4"/>
        <v>T</v>
      </c>
      <c r="V34" s="188"/>
      <c r="W34" s="188"/>
      <c r="X34" s="188"/>
      <c r="Y34" s="188"/>
      <c r="Z34" s="188"/>
      <c r="AA34" s="142">
        <f t="shared" si="35"/>
        <v>44071</v>
      </c>
      <c r="AB34" s="34">
        <f t="shared" si="18"/>
        <v>6</v>
      </c>
      <c r="AC34" s="35" t="str">
        <f t="shared" si="5"/>
        <v>S</v>
      </c>
      <c r="AD34" s="188"/>
      <c r="AE34" s="188"/>
      <c r="AF34" s="188"/>
      <c r="AG34" s="188"/>
      <c r="AH34" s="189"/>
      <c r="AI34" s="142">
        <f t="shared" si="19"/>
        <v>44102</v>
      </c>
      <c r="AJ34" s="34">
        <f t="shared" si="20"/>
        <v>2</v>
      </c>
      <c r="AK34" s="35" t="str">
        <f t="shared" si="6"/>
        <v>S</v>
      </c>
      <c r="AL34" s="189"/>
      <c r="AM34" s="189"/>
      <c r="AN34" s="189"/>
      <c r="AO34" s="189"/>
      <c r="AP34" s="189"/>
      <c r="AQ34" s="142">
        <f t="shared" si="21"/>
        <v>44132</v>
      </c>
      <c r="AR34" s="34">
        <f t="shared" si="22"/>
        <v>4</v>
      </c>
      <c r="AS34" s="35" t="str">
        <f t="shared" si="7"/>
        <v>Q</v>
      </c>
      <c r="AT34" s="189"/>
      <c r="AU34" s="189"/>
      <c r="AV34" s="189"/>
      <c r="AW34" s="189"/>
      <c r="AX34" s="189"/>
      <c r="AY34" s="142">
        <f t="shared" si="23"/>
        <v>44163</v>
      </c>
      <c r="AZ34" s="34">
        <f t="shared" si="24"/>
        <v>7</v>
      </c>
      <c r="BA34" s="35" t="str">
        <f t="shared" si="8"/>
        <v>S</v>
      </c>
      <c r="BB34" s="189"/>
      <c r="BC34" s="189"/>
      <c r="BD34" s="189"/>
      <c r="BE34" s="189"/>
      <c r="BF34" s="189"/>
      <c r="BG34" s="142">
        <f t="shared" si="25"/>
        <v>44193</v>
      </c>
      <c r="BH34" s="34">
        <f t="shared" si="26"/>
        <v>2</v>
      </c>
      <c r="BI34" s="35" t="str">
        <f t="shared" si="9"/>
        <v>S</v>
      </c>
      <c r="BJ34" s="189"/>
      <c r="BK34" s="189"/>
      <c r="BL34" s="189"/>
      <c r="BM34" s="189"/>
      <c r="BN34" s="189"/>
      <c r="BO34" s="142">
        <f t="shared" si="27"/>
        <v>44283</v>
      </c>
      <c r="BP34" s="34">
        <f t="shared" si="28"/>
        <v>1</v>
      </c>
      <c r="BQ34" s="35" t="str">
        <f t="shared" si="10"/>
        <v>D</v>
      </c>
      <c r="BR34" s="189"/>
      <c r="BS34" s="189"/>
      <c r="BT34" s="189"/>
      <c r="BU34" s="189"/>
      <c r="BV34" s="189"/>
      <c r="BW34" s="142">
        <f t="shared" si="29"/>
        <v>44405</v>
      </c>
      <c r="BX34" s="34">
        <f t="shared" si="30"/>
        <v>4</v>
      </c>
      <c r="BY34" s="35" t="str">
        <f t="shared" si="11"/>
        <v>Q</v>
      </c>
      <c r="BZ34" s="189"/>
      <c r="CA34" s="189"/>
      <c r="CB34" s="189"/>
      <c r="CC34" s="189"/>
      <c r="CD34" s="189"/>
      <c r="CE34" s="142">
        <f t="shared" si="31"/>
        <v>44528</v>
      </c>
      <c r="CF34" s="34">
        <f t="shared" si="32"/>
        <v>1</v>
      </c>
      <c r="CG34" s="35" t="str">
        <f t="shared" si="12"/>
        <v>D</v>
      </c>
      <c r="CH34" s="189"/>
      <c r="CI34" s="189"/>
      <c r="CJ34" s="189"/>
      <c r="CK34" s="189"/>
      <c r="CL34" s="189"/>
      <c r="CM34" s="142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5">
      <c r="B35" s="32">
        <v>29</v>
      </c>
      <c r="C35" s="33">
        <f t="shared" si="13"/>
        <v>43980</v>
      </c>
      <c r="D35" s="143">
        <f t="shared" si="1"/>
        <v>6</v>
      </c>
      <c r="E35" s="147" t="str">
        <f t="shared" si="2"/>
        <v>S</v>
      </c>
      <c r="G35" s="188"/>
      <c r="H35" s="188"/>
      <c r="I35" s="188"/>
      <c r="J35" s="189"/>
      <c r="K35" s="142">
        <f t="shared" si="14"/>
        <v>44011</v>
      </c>
      <c r="L35" s="34">
        <f t="shared" si="15"/>
        <v>2</v>
      </c>
      <c r="M35" s="35" t="str">
        <f t="shared" si="3"/>
        <v>S</v>
      </c>
      <c r="N35" s="189"/>
      <c r="O35" s="189"/>
      <c r="P35" s="189"/>
      <c r="Q35" s="189"/>
      <c r="R35" s="189"/>
      <c r="S35" s="142">
        <f t="shared" si="16"/>
        <v>44041</v>
      </c>
      <c r="T35" s="34">
        <f t="shared" si="17"/>
        <v>4</v>
      </c>
      <c r="U35" s="35" t="str">
        <f t="shared" si="4"/>
        <v>Q</v>
      </c>
      <c r="V35" s="189"/>
      <c r="W35" s="189"/>
      <c r="X35" s="189"/>
      <c r="Y35" s="189"/>
      <c r="Z35" s="189"/>
      <c r="AA35" s="142">
        <f t="shared" si="35"/>
        <v>44072</v>
      </c>
      <c r="AB35" s="34">
        <f t="shared" si="18"/>
        <v>7</v>
      </c>
      <c r="AC35" s="35" t="str">
        <f t="shared" si="5"/>
        <v>S</v>
      </c>
      <c r="AD35" s="189"/>
      <c r="AE35" s="189"/>
      <c r="AF35" s="189"/>
      <c r="AG35" s="189"/>
      <c r="AH35" s="189"/>
      <c r="AI35" s="142">
        <f t="shared" si="19"/>
        <v>44103</v>
      </c>
      <c r="AJ35" s="34">
        <f t="shared" si="20"/>
        <v>3</v>
      </c>
      <c r="AK35" s="35" t="str">
        <f t="shared" si="6"/>
        <v>T</v>
      </c>
      <c r="AL35" s="189"/>
      <c r="AM35" s="189"/>
      <c r="AN35" s="189"/>
      <c r="AO35" s="189"/>
      <c r="AP35" s="189"/>
      <c r="AQ35" s="142">
        <f t="shared" si="21"/>
        <v>44133</v>
      </c>
      <c r="AR35" s="34">
        <f t="shared" si="22"/>
        <v>5</v>
      </c>
      <c r="AS35" s="35" t="str">
        <f t="shared" si="7"/>
        <v>Q</v>
      </c>
      <c r="AT35" s="189"/>
      <c r="AU35" s="189"/>
      <c r="AV35" s="189"/>
      <c r="AW35" s="189"/>
      <c r="AX35" s="189"/>
      <c r="AY35" s="142">
        <f t="shared" si="23"/>
        <v>44164</v>
      </c>
      <c r="AZ35" s="34">
        <f t="shared" si="24"/>
        <v>1</v>
      </c>
      <c r="BA35" s="35" t="str">
        <f t="shared" si="8"/>
        <v>D</v>
      </c>
      <c r="BB35" s="189"/>
      <c r="BC35" s="189"/>
      <c r="BD35" s="189"/>
      <c r="BE35" s="189"/>
      <c r="BF35" s="189"/>
      <c r="BG35" s="142">
        <f t="shared" si="25"/>
        <v>44194</v>
      </c>
      <c r="BH35" s="34">
        <f t="shared" si="26"/>
        <v>3</v>
      </c>
      <c r="BI35" s="35" t="str">
        <f t="shared" si="9"/>
        <v>T</v>
      </c>
      <c r="BJ35" s="189"/>
      <c r="BK35" s="189"/>
      <c r="BL35" s="189"/>
      <c r="BM35" s="189"/>
      <c r="BN35" s="189"/>
      <c r="BO35" s="142">
        <f t="shared" si="27"/>
        <v>44284</v>
      </c>
      <c r="BP35" s="34">
        <f t="shared" si="28"/>
        <v>2</v>
      </c>
      <c r="BQ35" s="35" t="str">
        <f t="shared" si="10"/>
        <v>S</v>
      </c>
      <c r="BR35" s="189"/>
      <c r="BS35" s="189"/>
      <c r="BT35" s="189"/>
      <c r="BU35" s="189"/>
      <c r="BV35" s="189"/>
      <c r="BW35" s="142">
        <f t="shared" si="29"/>
        <v>44406</v>
      </c>
      <c r="BX35" s="34">
        <f t="shared" si="30"/>
        <v>5</v>
      </c>
      <c r="BY35" s="35" t="str">
        <f t="shared" si="11"/>
        <v>Q</v>
      </c>
      <c r="BZ35" s="189"/>
      <c r="CA35" s="189"/>
      <c r="CB35" s="189"/>
      <c r="CC35" s="189"/>
      <c r="CD35" s="189"/>
      <c r="CE35" s="142">
        <f t="shared" si="31"/>
        <v>44529</v>
      </c>
      <c r="CF35" s="34">
        <f t="shared" si="32"/>
        <v>2</v>
      </c>
      <c r="CG35" s="35" t="str">
        <f t="shared" si="12"/>
        <v>S</v>
      </c>
      <c r="CH35" s="189"/>
      <c r="CI35" s="189"/>
      <c r="CJ35" s="189"/>
      <c r="CK35" s="189"/>
      <c r="CL35" s="189"/>
      <c r="CM35" s="142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5">
      <c r="B36" s="32">
        <v>30</v>
      </c>
      <c r="C36" s="33">
        <f t="shared" si="13"/>
        <v>43981</v>
      </c>
      <c r="D36" s="143">
        <f t="shared" si="1"/>
        <v>7</v>
      </c>
      <c r="E36" s="147" t="str">
        <f t="shared" si="2"/>
        <v>S</v>
      </c>
      <c r="F36" s="189"/>
      <c r="G36" s="189"/>
      <c r="H36" s="189"/>
      <c r="I36" s="189"/>
      <c r="J36" s="189"/>
      <c r="K36" s="142">
        <f t="shared" si="14"/>
        <v>44012</v>
      </c>
      <c r="L36" s="34">
        <f t="shared" si="15"/>
        <v>3</v>
      </c>
      <c r="M36" s="35" t="str">
        <f t="shared" si="3"/>
        <v>T</v>
      </c>
      <c r="N36" s="189"/>
      <c r="O36" s="189"/>
      <c r="P36" s="189"/>
      <c r="Q36" s="189"/>
      <c r="R36" s="189"/>
      <c r="S36" s="142">
        <f t="shared" si="16"/>
        <v>44042</v>
      </c>
      <c r="T36" s="34">
        <f t="shared" si="17"/>
        <v>5</v>
      </c>
      <c r="U36" s="35" t="str">
        <f t="shared" si="4"/>
        <v>Q</v>
      </c>
      <c r="V36" s="189"/>
      <c r="W36" s="189"/>
      <c r="X36" s="189"/>
      <c r="Y36" s="189"/>
      <c r="Z36" s="189"/>
      <c r="AA36" s="142">
        <f t="shared" si="35"/>
        <v>44073</v>
      </c>
      <c r="AB36" s="34">
        <f t="shared" si="18"/>
        <v>1</v>
      </c>
      <c r="AC36" s="35" t="str">
        <f t="shared" si="5"/>
        <v>D</v>
      </c>
      <c r="AD36" s="189"/>
      <c r="AE36" s="189"/>
      <c r="AF36" s="189"/>
      <c r="AG36" s="189"/>
      <c r="AH36" s="189"/>
      <c r="AI36" s="142">
        <f t="shared" si="19"/>
        <v>44104</v>
      </c>
      <c r="AJ36" s="34">
        <f t="shared" si="20"/>
        <v>4</v>
      </c>
      <c r="AK36" s="35" t="str">
        <f t="shared" si="6"/>
        <v>Q</v>
      </c>
      <c r="AL36" s="189"/>
      <c r="AM36" s="189"/>
      <c r="AN36" s="189"/>
      <c r="AO36" s="189"/>
      <c r="AP36" s="189"/>
      <c r="AQ36" s="142">
        <f t="shared" si="21"/>
        <v>44134</v>
      </c>
      <c r="AR36" s="34">
        <f t="shared" si="22"/>
        <v>6</v>
      </c>
      <c r="AS36" s="35" t="str">
        <f t="shared" si="7"/>
        <v>S</v>
      </c>
      <c r="AT36" s="189"/>
      <c r="AU36" s="189"/>
      <c r="AV36" s="189"/>
      <c r="AW36" s="189"/>
      <c r="AX36" s="189"/>
      <c r="AY36" s="142">
        <f t="shared" si="23"/>
        <v>44165</v>
      </c>
      <c r="AZ36" s="34">
        <f t="shared" si="24"/>
        <v>2</v>
      </c>
      <c r="BA36" s="35" t="str">
        <f t="shared" si="8"/>
        <v>S</v>
      </c>
      <c r="BB36" s="189"/>
      <c r="BC36" s="189"/>
      <c r="BD36" s="189"/>
      <c r="BE36" s="189"/>
      <c r="BF36" s="189"/>
      <c r="BG36" s="142">
        <f t="shared" si="25"/>
        <v>44195</v>
      </c>
      <c r="BH36" s="34">
        <f t="shared" si="26"/>
        <v>4</v>
      </c>
      <c r="BI36" s="35" t="str">
        <f t="shared" si="9"/>
        <v>Q</v>
      </c>
      <c r="BJ36" s="189"/>
      <c r="BK36" s="189"/>
      <c r="BL36" s="189"/>
      <c r="BM36" s="189"/>
      <c r="BN36" s="189"/>
      <c r="BO36" s="142">
        <f t="shared" si="27"/>
        <v>44285</v>
      </c>
      <c r="BP36" s="34">
        <f t="shared" si="28"/>
        <v>3</v>
      </c>
      <c r="BQ36" s="35" t="str">
        <f t="shared" si="10"/>
        <v>T</v>
      </c>
      <c r="BR36" s="189"/>
      <c r="BS36" s="189"/>
      <c r="BT36" s="189"/>
      <c r="BU36" s="189"/>
      <c r="BV36" s="189"/>
      <c r="BW36" s="142">
        <f t="shared" si="29"/>
        <v>44407</v>
      </c>
      <c r="BX36" s="34">
        <f t="shared" si="30"/>
        <v>6</v>
      </c>
      <c r="BY36" s="35" t="str">
        <f t="shared" si="11"/>
        <v>S</v>
      </c>
      <c r="BZ36" s="189"/>
      <c r="CA36" s="189"/>
      <c r="CB36" s="189"/>
      <c r="CC36" s="189"/>
      <c r="CD36" s="189"/>
      <c r="CE36" s="142">
        <f t="shared" si="31"/>
        <v>44530</v>
      </c>
      <c r="CF36" s="34">
        <f t="shared" si="32"/>
        <v>3</v>
      </c>
      <c r="CG36" s="35" t="str">
        <f t="shared" si="12"/>
        <v>T</v>
      </c>
      <c r="CH36" s="189"/>
      <c r="CI36" s="189"/>
      <c r="CJ36" s="189"/>
      <c r="CK36" s="189"/>
      <c r="CL36" s="189"/>
      <c r="CM36" s="142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8" customHeight="1" thickBot="1" x14ac:dyDescent="0.3">
      <c r="B37" s="36">
        <v>31</v>
      </c>
      <c r="C37" s="37">
        <f t="shared" si="13"/>
        <v>43982</v>
      </c>
      <c r="D37" s="144">
        <f t="shared" si="1"/>
        <v>1</v>
      </c>
      <c r="E37" s="148" t="str">
        <f t="shared" si="2"/>
        <v>D</v>
      </c>
      <c r="F37" s="192"/>
      <c r="G37" s="192"/>
      <c r="H37" s="192"/>
      <c r="I37" s="192"/>
      <c r="J37" s="192"/>
      <c r="K37" s="149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2"/>
      <c r="O37" s="192"/>
      <c r="P37" s="192"/>
      <c r="Q37" s="192"/>
      <c r="R37" s="192"/>
      <c r="S37" s="149">
        <f t="shared" si="16"/>
        <v>44043</v>
      </c>
      <c r="T37" s="19">
        <f t="shared" si="17"/>
        <v>6</v>
      </c>
      <c r="U37" s="38" t="str">
        <f t="shared" si="4"/>
        <v>S</v>
      </c>
      <c r="V37" s="192"/>
      <c r="W37" s="192"/>
      <c r="X37" s="192"/>
      <c r="Y37" s="192"/>
      <c r="Z37" s="192"/>
      <c r="AA37" s="149">
        <f t="shared" si="35"/>
        <v>44074</v>
      </c>
      <c r="AB37" s="19">
        <f t="shared" si="18"/>
        <v>2</v>
      </c>
      <c r="AC37" s="38" t="str">
        <f t="shared" si="5"/>
        <v>S</v>
      </c>
      <c r="AD37" s="192"/>
      <c r="AE37" s="192"/>
      <c r="AF37" s="192"/>
      <c r="AG37" s="192"/>
      <c r="AH37" s="192"/>
      <c r="AI37" s="149" t="str">
        <f t="shared" si="19"/>
        <v/>
      </c>
      <c r="AJ37" s="19">
        <f t="shared" si="20"/>
        <v>44104</v>
      </c>
      <c r="AK37" s="38" t="str">
        <f t="shared" si="6"/>
        <v/>
      </c>
      <c r="AL37" s="192"/>
      <c r="AM37" s="192"/>
      <c r="AN37" s="192"/>
      <c r="AO37" s="192"/>
      <c r="AP37" s="192"/>
      <c r="AQ37" s="149">
        <f t="shared" si="21"/>
        <v>44135</v>
      </c>
      <c r="AR37" s="19">
        <f t="shared" si="22"/>
        <v>7</v>
      </c>
      <c r="AS37" s="38" t="str">
        <f t="shared" si="7"/>
        <v>S</v>
      </c>
      <c r="AT37" s="192"/>
      <c r="AU37" s="192"/>
      <c r="AV37" s="192"/>
      <c r="AW37" s="192"/>
      <c r="AX37" s="192"/>
      <c r="AY37" s="149" t="str">
        <f t="shared" si="23"/>
        <v/>
      </c>
      <c r="AZ37" s="19">
        <f t="shared" si="24"/>
        <v>44165</v>
      </c>
      <c r="BA37" s="38" t="str">
        <f t="shared" si="8"/>
        <v/>
      </c>
      <c r="BB37" s="192"/>
      <c r="BC37" s="192"/>
      <c r="BD37" s="192"/>
      <c r="BE37" s="192"/>
      <c r="BF37" s="192"/>
      <c r="BG37" s="149">
        <f t="shared" si="25"/>
        <v>44196</v>
      </c>
      <c r="BH37" s="19">
        <f t="shared" si="26"/>
        <v>5</v>
      </c>
      <c r="BI37" s="38" t="str">
        <f t="shared" si="9"/>
        <v>Q</v>
      </c>
      <c r="BJ37" s="192"/>
      <c r="BK37" s="192"/>
      <c r="BL37" s="192"/>
      <c r="BM37" s="192"/>
      <c r="BN37" s="192"/>
      <c r="BO37" s="149">
        <f t="shared" si="27"/>
        <v>44286</v>
      </c>
      <c r="BP37" s="19">
        <f t="shared" si="28"/>
        <v>4</v>
      </c>
      <c r="BQ37" s="38" t="str">
        <f t="shared" si="10"/>
        <v>Q</v>
      </c>
      <c r="BR37" s="192"/>
      <c r="BS37" s="192"/>
      <c r="BT37" s="192"/>
      <c r="BU37" s="192"/>
      <c r="BV37" s="192"/>
      <c r="BW37" s="149">
        <f t="shared" si="29"/>
        <v>44408</v>
      </c>
      <c r="BX37" s="19">
        <f t="shared" si="30"/>
        <v>7</v>
      </c>
      <c r="BY37" s="38" t="str">
        <f t="shared" si="11"/>
        <v>S</v>
      </c>
      <c r="BZ37" s="192"/>
      <c r="CA37" s="192"/>
      <c r="CB37" s="192"/>
      <c r="CC37" s="192"/>
      <c r="CD37" s="192"/>
      <c r="CE37" s="149" t="str">
        <f t="shared" si="31"/>
        <v/>
      </c>
      <c r="CF37" s="34">
        <f t="shared" si="32"/>
        <v>44530</v>
      </c>
      <c r="CG37" s="38" t="str">
        <f t="shared" si="12"/>
        <v/>
      </c>
      <c r="CH37" s="192"/>
      <c r="CI37" s="192"/>
      <c r="CJ37" s="192"/>
      <c r="CK37" s="192"/>
      <c r="CL37" s="189"/>
      <c r="CM37" s="149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3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3">
      <c r="B39" s="294" t="s">
        <v>32</v>
      </c>
      <c r="C39" s="295"/>
      <c r="D39" s="295"/>
      <c r="E39" s="295"/>
      <c r="F39" s="295"/>
      <c r="G39" s="295"/>
      <c r="H39" s="295"/>
      <c r="I39" s="295"/>
      <c r="J39" s="295"/>
      <c r="K39" s="295"/>
      <c r="L39" s="295"/>
      <c r="M39" s="295"/>
      <c r="N39" s="295"/>
      <c r="O39" s="295"/>
      <c r="P39" s="295"/>
      <c r="Q39" s="296"/>
      <c r="R39" s="297">
        <v>224</v>
      </c>
      <c r="S39" s="298"/>
      <c r="T39" s="298"/>
      <c r="U39" s="298"/>
      <c r="V39" s="298"/>
      <c r="W39" s="299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3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3">
      <c r="B41" s="42" t="str">
        <f>F6</f>
        <v>GS</v>
      </c>
      <c r="C41" s="43"/>
      <c r="D41" s="43"/>
      <c r="E41" s="291">
        <f>SUM(F7:F37,N7:N37,V7:V37,AD7:AD37,AL7:AL37,AT7:AT37,BB7:BB37,BJ7:BJ37,BR7:BR37,BZ7:BZ37,CH7:CH37,B41)</f>
        <v>8</v>
      </c>
      <c r="F41" s="292"/>
      <c r="G41" s="43"/>
      <c r="H41" s="43"/>
      <c r="I41" s="43"/>
      <c r="J41" s="44" t="str">
        <f>H6</f>
        <v>JA</v>
      </c>
      <c r="K41" s="43"/>
      <c r="L41" s="43"/>
      <c r="M41" s="291">
        <f>SUM(H7:H37,P7:P37,X7:X37,AF7:AF37,AN7:AN37,AV7:AV37,BD7:BD37,BL7:BL37,BT7:BT37,CB7:CB37,CJ7:CJ37,J41)</f>
        <v>0</v>
      </c>
      <c r="N41" s="292"/>
      <c r="O41" s="43"/>
      <c r="P41" s="43"/>
      <c r="Q41" s="43"/>
      <c r="R41" s="44">
        <f>J6</f>
        <v>0</v>
      </c>
      <c r="S41" s="43"/>
      <c r="T41" s="43"/>
      <c r="U41" s="291">
        <f>SUM(J7:J37,R7:R37,Z7:Z37,AH7:AH37,AP7:AP37,AX7:AX37,BF7:BF37,BN7:BN37,BV7:BV37,CD7:CD37,CL7:CL37,R41)</f>
        <v>0</v>
      </c>
      <c r="V41" s="292"/>
      <c r="W41" s="45"/>
      <c r="AC41" s="126">
        <v>8</v>
      </c>
      <c r="AD41" s="106" t="s">
        <v>56</v>
      </c>
      <c r="AK41" s="127">
        <v>8</v>
      </c>
      <c r="AL41" s="106" t="s">
        <v>61</v>
      </c>
      <c r="AN41" s="107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6" t="s">
        <v>52</v>
      </c>
      <c r="BM41" s="71"/>
      <c r="BN41" s="71"/>
      <c r="BO41" s="71"/>
      <c r="BP41" s="71"/>
      <c r="BQ41" s="85">
        <v>8</v>
      </c>
      <c r="BR41" s="106" t="s">
        <v>53</v>
      </c>
      <c r="BS41" s="46"/>
      <c r="BT41" s="71"/>
      <c r="BV41" s="158"/>
      <c r="BW41" s="158"/>
      <c r="BX41" s="158"/>
      <c r="BY41" s="176">
        <v>8</v>
      </c>
      <c r="BZ41" s="106" t="s">
        <v>60</v>
      </c>
      <c r="CA41" s="158"/>
      <c r="CB41" s="158"/>
      <c r="CC41" s="158"/>
      <c r="CD41" s="158"/>
      <c r="CE41" s="158"/>
      <c r="CF41" s="158"/>
      <c r="CG41" s="159"/>
      <c r="CH41" s="161"/>
    </row>
    <row r="42" spans="2:93" s="6" customFormat="1" ht="8.25" customHeight="1" thickBot="1" x14ac:dyDescent="0.3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2"/>
      <c r="CA42" s="90"/>
      <c r="CB42" s="90"/>
      <c r="CC42" s="90"/>
      <c r="CD42" s="90"/>
      <c r="CE42" s="90"/>
      <c r="CF42" s="90"/>
      <c r="CG42" s="90"/>
      <c r="CH42" s="162"/>
      <c r="CI42" s="71"/>
      <c r="CK42" s="71"/>
      <c r="CL42" s="71"/>
      <c r="CM42" s="71"/>
      <c r="CN42" s="71"/>
    </row>
    <row r="43" spans="2:93" s="6" customFormat="1" ht="20.25" customHeight="1" thickBot="1" x14ac:dyDescent="0.3">
      <c r="B43" s="42" t="str">
        <f>G6</f>
        <v>ML</v>
      </c>
      <c r="C43" s="43"/>
      <c r="D43" s="43"/>
      <c r="E43" s="291">
        <f>SUM(G7:G37,O7:O37,W7:W37,AE7:AE37,AM7:AM37,AU7:AU37,BC7:BC37,BK7:BK37,BS7:BS37,CA7:CA37,CI7:CI37,B43)</f>
        <v>0</v>
      </c>
      <c r="F43" s="292"/>
      <c r="G43" s="43"/>
      <c r="H43" s="43"/>
      <c r="I43" s="43"/>
      <c r="J43" s="44" t="str">
        <f>I6</f>
        <v>RA</v>
      </c>
      <c r="K43" s="43"/>
      <c r="L43" s="43"/>
      <c r="M43" s="291">
        <f>SUM(I7:I37,Q7:Q37,Y7:Y37,AG7:AG37,AO7:AO37,AW7:AW37,BE7:BE37,BM7:BM37,BU7:BU37,CC7:CC37,CK7:CK37,J43)</f>
        <v>0</v>
      </c>
      <c r="N43" s="292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291">
        <f>IF(SUM(U41,M41,M43,E43,E41)=0,"",SUM(U41,M41,M43,E43,E41))</f>
        <v>8</v>
      </c>
      <c r="V43" s="292"/>
      <c r="W43" s="45"/>
      <c r="AC43" s="164">
        <v>8</v>
      </c>
      <c r="AD43" s="106" t="s">
        <v>59</v>
      </c>
      <c r="AK43" s="128">
        <v>8</v>
      </c>
      <c r="AL43" s="106" t="s">
        <v>51</v>
      </c>
      <c r="AN43" s="71"/>
      <c r="AQ43" s="71"/>
      <c r="AR43" s="71"/>
      <c r="AS43" s="165">
        <v>8</v>
      </c>
      <c r="AT43" s="106" t="s">
        <v>46</v>
      </c>
      <c r="AU43" s="71"/>
      <c r="AV43" s="88"/>
      <c r="AW43" s="71"/>
      <c r="AX43" s="71"/>
      <c r="AY43" s="71"/>
      <c r="AZ43" s="71"/>
      <c r="BA43" s="163">
        <v>8</v>
      </c>
      <c r="BB43" s="106" t="s">
        <v>49</v>
      </c>
      <c r="BD43" s="88"/>
      <c r="BF43" s="71"/>
      <c r="BG43" s="71"/>
      <c r="BH43" s="71"/>
      <c r="BI43" s="83">
        <v>8</v>
      </c>
      <c r="BJ43" s="106" t="s">
        <v>50</v>
      </c>
      <c r="BL43" s="88"/>
      <c r="BQ43" s="87">
        <v>8</v>
      </c>
      <c r="BR43" s="106" t="s">
        <v>54</v>
      </c>
      <c r="BU43" s="71"/>
      <c r="BV43" s="90"/>
      <c r="BW43" s="90"/>
      <c r="BX43" s="90"/>
      <c r="BY43" s="159"/>
      <c r="BZ43" s="161"/>
      <c r="CA43" s="160"/>
      <c r="CB43" s="90"/>
      <c r="CC43" s="90"/>
      <c r="CD43" s="90"/>
      <c r="CE43" s="90"/>
      <c r="CF43" s="90"/>
      <c r="CG43" s="158"/>
      <c r="CH43" s="160"/>
      <c r="CI43" s="71"/>
      <c r="CK43" s="46"/>
      <c r="CL43" s="71"/>
      <c r="CM43" s="71"/>
      <c r="CN43" s="71"/>
    </row>
    <row r="44" spans="2:93" s="6" customFormat="1" ht="8.25" customHeight="1" thickBot="1" x14ac:dyDescent="0.3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5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5"/>
    <row r="47" spans="2:93" s="6" customFormat="1" ht="21" customHeight="1" x14ac:dyDescent="0.25">
      <c r="E47" s="6">
        <f>E43/8</f>
        <v>0</v>
      </c>
      <c r="Q47" s="157"/>
      <c r="R47" s="156" t="s">
        <v>57</v>
      </c>
      <c r="S47" s="157"/>
      <c r="T47" s="157"/>
      <c r="U47" s="171">
        <f>U43/8</f>
        <v>1</v>
      </c>
      <c r="AH47" s="6">
        <f>119/8</f>
        <v>14.875</v>
      </c>
      <c r="AO47" s="197" t="s">
        <v>125</v>
      </c>
    </row>
    <row r="48" spans="2:93" s="6" customFormat="1" ht="21" hidden="1" customHeight="1" x14ac:dyDescent="0.25"/>
    <row r="49" spans="2:10" s="6" customFormat="1" ht="21" hidden="1" customHeight="1" x14ac:dyDescent="0.25">
      <c r="I49" s="6">
        <v>1</v>
      </c>
      <c r="J49" s="6" t="s">
        <v>21</v>
      </c>
    </row>
    <row r="50" spans="2:10" s="6" customFormat="1" ht="21" hidden="1" customHeight="1" x14ac:dyDescent="0.25">
      <c r="I50" s="6">
        <v>2</v>
      </c>
      <c r="J50" s="6" t="s">
        <v>18</v>
      </c>
    </row>
    <row r="51" spans="2:10" s="6" customFormat="1" ht="21" hidden="1" customHeight="1" x14ac:dyDescent="0.25">
      <c r="I51" s="6">
        <v>3</v>
      </c>
      <c r="J51" s="6" t="s">
        <v>19</v>
      </c>
    </row>
    <row r="52" spans="2:10" s="6" customFormat="1" ht="21" hidden="1" customHeight="1" x14ac:dyDescent="0.25">
      <c r="I52" s="6">
        <v>4</v>
      </c>
      <c r="J52" s="6" t="s">
        <v>20</v>
      </c>
    </row>
    <row r="53" spans="2:10" s="6" customFormat="1" ht="21" hidden="1" customHeight="1" x14ac:dyDescent="0.25">
      <c r="I53" s="6">
        <v>5</v>
      </c>
      <c r="J53" s="6" t="s">
        <v>20</v>
      </c>
    </row>
    <row r="54" spans="2:10" s="6" customFormat="1" ht="21" hidden="1" customHeight="1" x14ac:dyDescent="0.25">
      <c r="I54" s="6">
        <v>6</v>
      </c>
      <c r="J54" s="6" t="s">
        <v>18</v>
      </c>
    </row>
    <row r="55" spans="2:10" s="6" customFormat="1" ht="21" hidden="1" customHeight="1" x14ac:dyDescent="0.25">
      <c r="I55" s="6">
        <v>7</v>
      </c>
      <c r="J55" s="6" t="s">
        <v>18</v>
      </c>
    </row>
    <row r="56" spans="2:10" s="6" customFormat="1" ht="21" hidden="1" customHeight="1" x14ac:dyDescent="0.25"/>
    <row r="57" spans="2:10" s="6" customFormat="1" ht="21" hidden="1" customHeight="1" x14ac:dyDescent="0.25">
      <c r="C57" s="6" t="s">
        <v>38</v>
      </c>
      <c r="D57" s="6" t="e">
        <f>SUM(D59:D430)</f>
        <v>#REF!</v>
      </c>
    </row>
    <row r="58" spans="2:10" s="6" customFormat="1" ht="21" hidden="1" customHeight="1" x14ac:dyDescent="0.25">
      <c r="C58" s="72"/>
    </row>
    <row r="59" spans="2:10" s="6" customFormat="1" ht="21" hidden="1" customHeight="1" x14ac:dyDescent="0.25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5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5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5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5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5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5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5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5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5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5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5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5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5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5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5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5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5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5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5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5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5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5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5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5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5">
      <c r="B84" s="6">
        <v>26</v>
      </c>
      <c r="C84" s="72">
        <f t="shared" si="36"/>
        <v>43977</v>
      </c>
      <c r="D84" s="6">
        <f>IF(C84&lt;='Plano Diretor'!$AU$4,SUM(F32:J32),0)</f>
        <v>0</v>
      </c>
    </row>
    <row r="85" spans="2:4" s="6" customFormat="1" ht="21" hidden="1" customHeight="1" x14ac:dyDescent="0.25">
      <c r="B85" s="6">
        <v>27</v>
      </c>
      <c r="C85" s="72">
        <f t="shared" si="36"/>
        <v>43978</v>
      </c>
      <c r="D85" s="6">
        <f>IF(C85&lt;='Plano Diretor'!$AU$4,SUM(F33:J33),0)</f>
        <v>8</v>
      </c>
    </row>
    <row r="86" spans="2:4" s="6" customFormat="1" ht="21" hidden="1" customHeight="1" x14ac:dyDescent="0.25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5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5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5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5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5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5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5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5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5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5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5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5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5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5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5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5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5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5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5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5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5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5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5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5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5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5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5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5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5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5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5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5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5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5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5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5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5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5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5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5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5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5">
      <c r="B128" s="6">
        <v>8</v>
      </c>
      <c r="C128" s="72">
        <f t="shared" si="38"/>
        <v>44020</v>
      </c>
      <c r="D128" s="6">
        <f>IF(C128&lt;='Plano Diretor'!$AU$4,SUM(V14:Z14),0)</f>
        <v>0</v>
      </c>
    </row>
    <row r="129" spans="2:4" s="6" customFormat="1" ht="21" hidden="1" customHeight="1" x14ac:dyDescent="0.25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5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5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5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5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5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5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5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5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5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5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5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5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5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5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5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5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5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5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5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5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5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5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5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5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5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5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5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5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5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5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5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5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5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5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5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5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5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5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5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5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5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5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5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5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5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5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5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5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5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5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5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5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5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5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5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5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5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5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5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5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5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5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5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5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5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5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5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5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5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5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5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5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5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5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5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5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5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5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5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5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5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5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5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5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5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5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5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5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5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5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5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5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5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5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5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5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5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5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5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5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5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5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5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5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5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5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5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5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5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5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5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5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5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5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5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5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5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5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5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5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5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5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5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5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5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5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5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5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5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5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5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5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5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5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5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5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5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5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5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5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5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5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5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5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5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5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5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5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5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5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5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5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5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5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5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5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5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5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5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5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5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5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5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5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5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5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5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5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5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5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5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5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5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5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5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5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5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5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5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5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5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5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5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5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5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5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5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5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5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5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5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5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5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5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5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5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5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5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5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5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5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5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5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5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5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5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5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5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5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5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5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5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5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5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5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5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5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5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5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5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5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5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5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5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5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5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5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5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5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5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5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5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5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5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5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5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5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5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5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5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5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5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5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5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5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5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5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5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5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5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5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5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5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5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5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5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5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5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5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5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5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5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5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5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5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5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5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5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5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5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5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5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5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5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5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5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5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5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5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5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5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5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5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5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5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5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5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5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5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5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5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5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5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5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5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5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5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5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5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5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5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5"/>
    <row r="432" spans="2:4" ht="18.75" customHeight="1" x14ac:dyDescent="0.25"/>
    <row r="433" spans="5:90" hidden="1" x14ac:dyDescent="0.25">
      <c r="AN433" s="71"/>
    </row>
    <row r="434" spans="5:90" hidden="1" x14ac:dyDescent="0.25">
      <c r="E434" s="15">
        <f>SUM(F434:CN434)</f>
        <v>8</v>
      </c>
      <c r="F434" s="15">
        <f>SUM(F7:J37)</f>
        <v>8</v>
      </c>
      <c r="N434" s="15">
        <f>SUM(N7:R37)</f>
        <v>0</v>
      </c>
      <c r="V434" s="15">
        <f>SUM(V7:Z37)</f>
        <v>0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5">
      <c r="E435" s="15">
        <f>SUM(F435:CN435)</f>
        <v>1</v>
      </c>
      <c r="F435" s="15">
        <f>F434/8</f>
        <v>1</v>
      </c>
      <c r="N435" s="15">
        <f>N434/8</f>
        <v>0</v>
      </c>
      <c r="V435" s="15">
        <f>V434/8</f>
        <v>0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5"/>
    <row r="437" spans="5:90" hidden="1" x14ac:dyDescent="0.25">
      <c r="E437" s="15">
        <f>SUM(F437:CN437)</f>
        <v>1</v>
      </c>
      <c r="F437" s="15">
        <f>SUM(F7:F37)/8</f>
        <v>1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5">
      <c r="E438" s="15">
        <f>SUM(F438:CN438)</f>
        <v>0</v>
      </c>
      <c r="G438" s="15">
        <f>SUM(G7:G37)/8</f>
        <v>0</v>
      </c>
      <c r="O438" s="15">
        <f>SUM(O7:O37)/8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5">
      <c r="E439" s="15">
        <f>SUM(F439:CN439)</f>
        <v>0</v>
      </c>
      <c r="H439" s="15">
        <f>SUM(H7:H37)/8</f>
        <v>0</v>
      </c>
      <c r="P439" s="15">
        <f>SUM(P7:P37)/8</f>
        <v>0</v>
      </c>
      <c r="X439" s="15">
        <f>SUM(X7:X37)/8</f>
        <v>0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5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5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5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5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5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5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5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5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5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5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5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5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5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5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5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5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5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5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5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5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5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5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5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  <mergeCell ref="E43:F43"/>
    <mergeCell ref="E41:F41"/>
    <mergeCell ref="U43:V43"/>
    <mergeCell ref="U41:V41"/>
    <mergeCell ref="M43:N43"/>
    <mergeCell ref="M41:N41"/>
  </mergeCells>
  <phoneticPr fontId="2" type="noConversion"/>
  <conditionalFormatting sqref="U41:V41 E43:F43 M41:N41 M43:N43 E41:F41">
    <cfRule type="cellIs" dxfId="755" priority="9993" stopIfTrue="1" operator="equal">
      <formula>0</formula>
    </cfRule>
  </conditionalFormatting>
  <conditionalFormatting sqref="E7:E37 M7:M37 U7:U37 AC7:AC37 AK7:AK37 AS7:AS37 BA7:BA37 BI7:BI37 BQ7:BQ37 BY7:BY37 CG7:CG37">
    <cfRule type="cellIs" dxfId="754" priority="9996" stopIfTrue="1" operator="equal">
      <formula>"D"</formula>
    </cfRule>
  </conditionalFormatting>
  <conditionalFormatting sqref="U43:V43">
    <cfRule type="cellIs" dxfId="753" priority="9997" stopIfTrue="1" operator="equal">
      <formula>$R$39</formula>
    </cfRule>
    <cfRule type="cellIs" dxfId="752" priority="9998" stopIfTrue="1" operator="greaterThan">
      <formula>$R$39</formula>
    </cfRule>
    <cfRule type="cellIs" dxfId="751" priority="9999" stopIfTrue="1" operator="lessThan">
      <formula>$R$39</formula>
    </cfRule>
  </conditionalFormatting>
  <conditionalFormatting sqref="K7:L7 K9:L37 BG7:BH37 BW7:BX37 CM7:CN37 BO7:BP37 S7:T37 AA7:AB37 AI7:AJ37 AQ7:AR37 AY7:AZ37 V7:Z10 F22:J24 F26:J26 F25:I25 CE7:CF37 AH22:AH23 F36:J37 J32:J35 F34 F28:J29 F30:G30 I30:J30 F32:G32">
    <cfRule type="cellIs" dxfId="750" priority="8979" stopIfTrue="1" operator="equal">
      <formula>"S"</formula>
    </cfRule>
    <cfRule type="cellIs" dxfId="749" priority="8980" stopIfTrue="1" operator="equal">
      <formula>"D"</formula>
    </cfRule>
  </conditionalFormatting>
  <conditionalFormatting sqref="AC41">
    <cfRule type="cellIs" dxfId="748" priority="8876" stopIfTrue="1" operator="equal">
      <formula>"S"</formula>
    </cfRule>
    <cfRule type="cellIs" dxfId="747" priority="8877" stopIfTrue="1" operator="equal">
      <formula>"D"</formula>
    </cfRule>
  </conditionalFormatting>
  <conditionalFormatting sqref="AC41">
    <cfRule type="cellIs" dxfId="746" priority="8874" stopIfTrue="1" operator="equal">
      <formula>"S"</formula>
    </cfRule>
    <cfRule type="cellIs" dxfId="745" priority="8875" stopIfTrue="1" operator="equal">
      <formula>"D"</formula>
    </cfRule>
  </conditionalFormatting>
  <conditionalFormatting sqref="AC41">
    <cfRule type="cellIs" dxfId="744" priority="8872" stopIfTrue="1" operator="equal">
      <formula>"S"</formula>
    </cfRule>
    <cfRule type="cellIs" dxfId="743" priority="8873" stopIfTrue="1" operator="equal">
      <formula>"D"</formula>
    </cfRule>
  </conditionalFormatting>
  <conditionalFormatting sqref="AC41">
    <cfRule type="cellIs" dxfId="742" priority="8870" stopIfTrue="1" operator="equal">
      <formula>"S"</formula>
    </cfRule>
    <cfRule type="cellIs" dxfId="741" priority="8871" stopIfTrue="1" operator="equal">
      <formula>"D"</formula>
    </cfRule>
  </conditionalFormatting>
  <conditionalFormatting sqref="AC41">
    <cfRule type="cellIs" dxfId="740" priority="8868" stopIfTrue="1" operator="equal">
      <formula>"S"</formula>
    </cfRule>
    <cfRule type="cellIs" dxfId="739" priority="8869" stopIfTrue="1" operator="equal">
      <formula>"D"</formula>
    </cfRule>
  </conditionalFormatting>
  <conditionalFormatting sqref="AC43">
    <cfRule type="cellIs" dxfId="738" priority="8866" stopIfTrue="1" operator="equal">
      <formula>"S"</formula>
    </cfRule>
    <cfRule type="cellIs" dxfId="737" priority="8867" stopIfTrue="1" operator="equal">
      <formula>"D"</formula>
    </cfRule>
  </conditionalFormatting>
  <conditionalFormatting sqref="AC43">
    <cfRule type="cellIs" dxfId="736" priority="8864" stopIfTrue="1" operator="equal">
      <formula>"S"</formula>
    </cfRule>
    <cfRule type="cellIs" dxfId="735" priority="8865" stopIfTrue="1" operator="equal">
      <formula>"D"</formula>
    </cfRule>
  </conditionalFormatting>
  <conditionalFormatting sqref="AK41">
    <cfRule type="cellIs" dxfId="734" priority="8862" stopIfTrue="1" operator="equal">
      <formula>"S"</formula>
    </cfRule>
    <cfRule type="cellIs" dxfId="733" priority="8863" stopIfTrue="1" operator="equal">
      <formula>"D"</formula>
    </cfRule>
  </conditionalFormatting>
  <conditionalFormatting sqref="AK41">
    <cfRule type="cellIs" dxfId="732" priority="8860" stopIfTrue="1" operator="equal">
      <formula>"S"</formula>
    </cfRule>
    <cfRule type="cellIs" dxfId="731" priority="8861" stopIfTrue="1" operator="equal">
      <formula>"D"</formula>
    </cfRule>
  </conditionalFormatting>
  <conditionalFormatting sqref="AK43">
    <cfRule type="cellIs" dxfId="730" priority="8858" stopIfTrue="1" operator="equal">
      <formula>"S"</formula>
    </cfRule>
    <cfRule type="cellIs" dxfId="729" priority="8859" stopIfTrue="1" operator="equal">
      <formula>"D"</formula>
    </cfRule>
  </conditionalFormatting>
  <conditionalFormatting sqref="AK43">
    <cfRule type="cellIs" dxfId="728" priority="8856" stopIfTrue="1" operator="equal">
      <formula>"S"</formula>
    </cfRule>
    <cfRule type="cellIs" dxfId="727" priority="8857" stopIfTrue="1" operator="equal">
      <formula>"D"</formula>
    </cfRule>
  </conditionalFormatting>
  <conditionalFormatting sqref="F37:J37 H36:J36 I29 F31:F32 J31:J35">
    <cfRule type="cellIs" dxfId="726" priority="8676" stopIfTrue="1" operator="equal">
      <formula>"S"</formula>
    </cfRule>
    <cfRule type="cellIs" dxfId="725" priority="8677" stopIfTrue="1" operator="equal">
      <formula>"D"</formula>
    </cfRule>
  </conditionalFormatting>
  <conditionalFormatting sqref="F30">
    <cfRule type="cellIs" dxfId="724" priority="6966" stopIfTrue="1" operator="equal">
      <formula>"S"</formula>
    </cfRule>
    <cfRule type="cellIs" dxfId="723" priority="6967" stopIfTrue="1" operator="equal">
      <formula>"D"</formula>
    </cfRule>
  </conditionalFormatting>
  <conditionalFormatting sqref="F30">
    <cfRule type="cellIs" dxfId="722" priority="6964" stopIfTrue="1" operator="equal">
      <formula>"S"</formula>
    </cfRule>
    <cfRule type="cellIs" dxfId="721" priority="6965" stopIfTrue="1" operator="equal">
      <formula>"D"</formula>
    </cfRule>
  </conditionalFormatting>
  <conditionalFormatting sqref="H29">
    <cfRule type="cellIs" dxfId="720" priority="6552" stopIfTrue="1" operator="equal">
      <formula>"S"</formula>
    </cfRule>
    <cfRule type="cellIs" dxfId="719" priority="6553" stopIfTrue="1" operator="equal">
      <formula>"D"</formula>
    </cfRule>
  </conditionalFormatting>
  <conditionalFormatting sqref="G32">
    <cfRule type="cellIs" dxfId="718" priority="6546" stopIfTrue="1" operator="equal">
      <formula>"S"</formula>
    </cfRule>
    <cfRule type="cellIs" dxfId="717" priority="6547" stopIfTrue="1" operator="equal">
      <formula>"D"</formula>
    </cfRule>
  </conditionalFormatting>
  <conditionalFormatting sqref="F36">
    <cfRule type="cellIs" dxfId="716" priority="6084" stopIfTrue="1" operator="equal">
      <formula>"S"</formula>
    </cfRule>
    <cfRule type="cellIs" dxfId="715" priority="6085" stopIfTrue="1" operator="equal">
      <formula>"D"</formula>
    </cfRule>
  </conditionalFormatting>
  <conditionalFormatting sqref="F36">
    <cfRule type="cellIs" dxfId="714" priority="6082" stopIfTrue="1" operator="equal">
      <formula>"S"</formula>
    </cfRule>
    <cfRule type="cellIs" dxfId="713" priority="6083" stopIfTrue="1" operator="equal">
      <formula>"D"</formula>
    </cfRule>
  </conditionalFormatting>
  <conditionalFormatting sqref="G36">
    <cfRule type="cellIs" dxfId="712" priority="6080" stopIfTrue="1" operator="equal">
      <formula>"S"</formula>
    </cfRule>
    <cfRule type="cellIs" dxfId="711" priority="6081" stopIfTrue="1" operator="equal">
      <formula>"D"</formula>
    </cfRule>
  </conditionalFormatting>
  <conditionalFormatting sqref="G36">
    <cfRule type="cellIs" dxfId="710" priority="6078" stopIfTrue="1" operator="equal">
      <formula>"S"</formula>
    </cfRule>
    <cfRule type="cellIs" dxfId="709" priority="6079" stopIfTrue="1" operator="equal">
      <formula>"D"</formula>
    </cfRule>
  </conditionalFormatting>
  <conditionalFormatting sqref="I30">
    <cfRule type="cellIs" dxfId="708" priority="6548" stopIfTrue="1" operator="equal">
      <formula>"S"</formula>
    </cfRule>
    <cfRule type="cellIs" dxfId="707" priority="6549" stopIfTrue="1" operator="equal">
      <formula>"D"</formula>
    </cfRule>
  </conditionalFormatting>
  <conditionalFormatting sqref="F34">
    <cfRule type="cellIs" dxfId="706" priority="5782" stopIfTrue="1" operator="equal">
      <formula>"S"</formula>
    </cfRule>
    <cfRule type="cellIs" dxfId="705" priority="5783" stopIfTrue="1" operator="equal">
      <formula>"D"</formula>
    </cfRule>
  </conditionalFormatting>
  <conditionalFormatting sqref="G31:H31">
    <cfRule type="cellIs" dxfId="704" priority="5054" stopIfTrue="1" operator="equal">
      <formula>"S"</formula>
    </cfRule>
    <cfRule type="cellIs" dxfId="703" priority="5055" stopIfTrue="1" operator="equal">
      <formula>"D"</formula>
    </cfRule>
  </conditionalFormatting>
  <conditionalFormatting sqref="F29">
    <cfRule type="cellIs" dxfId="702" priority="4422" stopIfTrue="1" operator="equal">
      <formula>"S"</formula>
    </cfRule>
    <cfRule type="cellIs" dxfId="701" priority="4423" stopIfTrue="1" operator="equal">
      <formula>"D"</formula>
    </cfRule>
  </conditionalFormatting>
  <conditionalFormatting sqref="F7:J13 F21:H21 J21 F15:J20 F14 J14 H14 F31:H31 J31 F27 I27:J27">
    <cfRule type="cellIs" dxfId="700" priority="2912" stopIfTrue="1" operator="equal">
      <formula>"S"</formula>
    </cfRule>
    <cfRule type="cellIs" dxfId="699" priority="2913" stopIfTrue="1" operator="equal">
      <formula>"D"</formula>
    </cfRule>
  </conditionalFormatting>
  <conditionalFormatting sqref="G29">
    <cfRule type="cellIs" dxfId="698" priority="2458" stopIfTrue="1" operator="equal">
      <formula>"S"</formula>
    </cfRule>
    <cfRule type="cellIs" dxfId="697" priority="2459" stopIfTrue="1" operator="equal">
      <formula>"D"</formula>
    </cfRule>
  </conditionalFormatting>
  <conditionalFormatting sqref="G29">
    <cfRule type="cellIs" dxfId="696" priority="2456" stopIfTrue="1" operator="equal">
      <formula>"S"</formula>
    </cfRule>
    <cfRule type="cellIs" dxfId="695" priority="2457" stopIfTrue="1" operator="equal">
      <formula>"D"</formula>
    </cfRule>
  </conditionalFormatting>
  <conditionalFormatting sqref="G30">
    <cfRule type="cellIs" dxfId="694" priority="2454" stopIfTrue="1" operator="equal">
      <formula>"S"</formula>
    </cfRule>
    <cfRule type="cellIs" dxfId="693" priority="2455" stopIfTrue="1" operator="equal">
      <formula>"D"</formula>
    </cfRule>
  </conditionalFormatting>
  <conditionalFormatting sqref="G30">
    <cfRule type="cellIs" dxfId="692" priority="2452" stopIfTrue="1" operator="equal">
      <formula>"S"</formula>
    </cfRule>
    <cfRule type="cellIs" dxfId="691" priority="2453" stopIfTrue="1" operator="equal">
      <formula>"D"</formula>
    </cfRule>
  </conditionalFormatting>
  <conditionalFormatting sqref="H15">
    <cfRule type="cellIs" dxfId="690" priority="2434" stopIfTrue="1" operator="equal">
      <formula>"S"</formula>
    </cfRule>
    <cfRule type="cellIs" dxfId="689" priority="2435" stopIfTrue="1" operator="equal">
      <formula>"D"</formula>
    </cfRule>
  </conditionalFormatting>
  <conditionalFormatting sqref="H21">
    <cfRule type="cellIs" dxfId="688" priority="2404" stopIfTrue="1" operator="equal">
      <formula>"S"</formula>
    </cfRule>
    <cfRule type="cellIs" dxfId="687" priority="2405" stopIfTrue="1" operator="equal">
      <formula>"D"</formula>
    </cfRule>
  </conditionalFormatting>
  <conditionalFormatting sqref="F21">
    <cfRule type="cellIs" dxfId="686" priority="2402" stopIfTrue="1" operator="equal">
      <formula>"S"</formula>
    </cfRule>
    <cfRule type="cellIs" dxfId="685" priority="2403" stopIfTrue="1" operator="equal">
      <formula>"D"</formula>
    </cfRule>
  </conditionalFormatting>
  <conditionalFormatting sqref="J29">
    <cfRule type="cellIs" dxfId="684" priority="2380" stopIfTrue="1" operator="equal">
      <formula>"S"</formula>
    </cfRule>
    <cfRule type="cellIs" dxfId="683" priority="2381" stopIfTrue="1" operator="equal">
      <formula>"D"</formula>
    </cfRule>
  </conditionalFormatting>
  <conditionalFormatting sqref="J29">
    <cfRule type="cellIs" dxfId="682" priority="2378" stopIfTrue="1" operator="equal">
      <formula>"S"</formula>
    </cfRule>
    <cfRule type="cellIs" dxfId="681" priority="2379" stopIfTrue="1" operator="equal">
      <formula>"D"</formula>
    </cfRule>
  </conditionalFormatting>
  <conditionalFormatting sqref="J30">
    <cfRule type="cellIs" dxfId="680" priority="2376" stopIfTrue="1" operator="equal">
      <formula>"S"</formula>
    </cfRule>
    <cfRule type="cellIs" dxfId="679" priority="2377" stopIfTrue="1" operator="equal">
      <formula>"D"</formula>
    </cfRule>
  </conditionalFormatting>
  <conditionalFormatting sqref="J30">
    <cfRule type="cellIs" dxfId="678" priority="2374" stopIfTrue="1" operator="equal">
      <formula>"S"</formula>
    </cfRule>
    <cfRule type="cellIs" dxfId="677" priority="2375" stopIfTrue="1" operator="equal">
      <formula>"D"</formula>
    </cfRule>
  </conditionalFormatting>
  <conditionalFormatting sqref="H13">
    <cfRule type="cellIs" dxfId="676" priority="2336" stopIfTrue="1" operator="equal">
      <formula>"S"</formula>
    </cfRule>
    <cfRule type="cellIs" dxfId="675" priority="2337" stopIfTrue="1" operator="equal">
      <formula>"D"</formula>
    </cfRule>
  </conditionalFormatting>
  <conditionalFormatting sqref="H13">
    <cfRule type="cellIs" dxfId="674" priority="2334" stopIfTrue="1" operator="equal">
      <formula>"S"</formula>
    </cfRule>
    <cfRule type="cellIs" dxfId="673" priority="2335" stopIfTrue="1" operator="equal">
      <formula>"D"</formula>
    </cfRule>
  </conditionalFormatting>
  <conditionalFormatting sqref="H14">
    <cfRule type="cellIs" dxfId="672" priority="2332" stopIfTrue="1" operator="equal">
      <formula>"S"</formula>
    </cfRule>
    <cfRule type="cellIs" dxfId="671" priority="2333" stopIfTrue="1" operator="equal">
      <formula>"D"</formula>
    </cfRule>
  </conditionalFormatting>
  <conditionalFormatting sqref="H14">
    <cfRule type="cellIs" dxfId="670" priority="2330" stopIfTrue="1" operator="equal">
      <formula>"S"</formula>
    </cfRule>
    <cfRule type="cellIs" dxfId="669" priority="2331" stopIfTrue="1" operator="equal">
      <formula>"D"</formula>
    </cfRule>
  </conditionalFormatting>
  <conditionalFormatting sqref="G27:H27">
    <cfRule type="cellIs" dxfId="668" priority="1167" stopIfTrue="1" operator="equal">
      <formula>"S"</formula>
    </cfRule>
    <cfRule type="cellIs" dxfId="667" priority="1168" stopIfTrue="1" operator="equal">
      <formula>"D"</formula>
    </cfRule>
  </conditionalFormatting>
  <conditionalFormatting sqref="G27:H27">
    <cfRule type="cellIs" dxfId="666" priority="1165" stopIfTrue="1" operator="equal">
      <formula>"S"</formula>
    </cfRule>
    <cfRule type="cellIs" dxfId="665" priority="1166" stopIfTrue="1" operator="equal">
      <formula>"D"</formula>
    </cfRule>
  </conditionalFormatting>
  <conditionalFormatting sqref="G27:H27">
    <cfRule type="cellIs" dxfId="664" priority="1163" stopIfTrue="1" operator="equal">
      <formula>"S"</formula>
    </cfRule>
    <cfRule type="cellIs" dxfId="663" priority="1164" stopIfTrue="1" operator="equal">
      <formula>"D"</formula>
    </cfRule>
  </conditionalFormatting>
  <conditionalFormatting sqref="G27:H27">
    <cfRule type="cellIs" dxfId="662" priority="1161" stopIfTrue="1" operator="equal">
      <formula>"S"</formula>
    </cfRule>
    <cfRule type="cellIs" dxfId="661" priority="1162" stopIfTrue="1" operator="equal">
      <formula>"D"</formula>
    </cfRule>
  </conditionalFormatting>
  <conditionalFormatting sqref="G27:H27">
    <cfRule type="cellIs" dxfId="660" priority="1169" stopIfTrue="1" operator="equal">
      <formula>"S"</formula>
    </cfRule>
    <cfRule type="cellIs" dxfId="659" priority="1170" stopIfTrue="1" operator="equal">
      <formula>"D"</formula>
    </cfRule>
  </conditionalFormatting>
  <conditionalFormatting sqref="N37:R37 P36:R36 Q34:R34 R35">
    <cfRule type="cellIs" dxfId="658" priority="1035" stopIfTrue="1" operator="equal">
      <formula>"S"</formula>
    </cfRule>
    <cfRule type="cellIs" dxfId="657" priority="1036" stopIfTrue="1" operator="equal">
      <formula>"D"</formula>
    </cfRule>
  </conditionalFormatting>
  <conditionalFormatting sqref="O35">
    <cfRule type="cellIs" dxfId="656" priority="1019" stopIfTrue="1" operator="equal">
      <formula>"S"</formula>
    </cfRule>
    <cfRule type="cellIs" dxfId="655" priority="1020" stopIfTrue="1" operator="equal">
      <formula>"D"</formula>
    </cfRule>
  </conditionalFormatting>
  <conditionalFormatting sqref="O35">
    <cfRule type="cellIs" dxfId="654" priority="1017" stopIfTrue="1" operator="equal">
      <formula>"S"</formula>
    </cfRule>
    <cfRule type="cellIs" dxfId="653" priority="1018" stopIfTrue="1" operator="equal">
      <formula>"D"</formula>
    </cfRule>
  </conditionalFormatting>
  <conditionalFormatting sqref="O34">
    <cfRule type="cellIs" dxfId="652" priority="1015" stopIfTrue="1" operator="equal">
      <formula>"S"</formula>
    </cfRule>
    <cfRule type="cellIs" dxfId="651" priority="1016" stopIfTrue="1" operator="equal">
      <formula>"D"</formula>
    </cfRule>
  </conditionalFormatting>
  <conditionalFormatting sqref="N36">
    <cfRule type="cellIs" dxfId="650" priority="1013" stopIfTrue="1" operator="equal">
      <formula>"S"</formula>
    </cfRule>
    <cfRule type="cellIs" dxfId="649" priority="1014" stopIfTrue="1" operator="equal">
      <formula>"D"</formula>
    </cfRule>
  </conditionalFormatting>
  <conditionalFormatting sqref="N36">
    <cfRule type="cellIs" dxfId="648" priority="1011" stopIfTrue="1" operator="equal">
      <formula>"S"</formula>
    </cfRule>
    <cfRule type="cellIs" dxfId="647" priority="1012" stopIfTrue="1" operator="equal">
      <formula>"D"</formula>
    </cfRule>
  </conditionalFormatting>
  <conditionalFormatting sqref="O36">
    <cfRule type="cellIs" dxfId="646" priority="1009" stopIfTrue="1" operator="equal">
      <formula>"S"</formula>
    </cfRule>
    <cfRule type="cellIs" dxfId="645" priority="1010" stopIfTrue="1" operator="equal">
      <formula>"D"</formula>
    </cfRule>
  </conditionalFormatting>
  <conditionalFormatting sqref="O36">
    <cfRule type="cellIs" dxfId="644" priority="1007" stopIfTrue="1" operator="equal">
      <formula>"S"</formula>
    </cfRule>
    <cfRule type="cellIs" dxfId="643" priority="1008" stopIfTrue="1" operator="equal">
      <formula>"D"</formula>
    </cfRule>
  </conditionalFormatting>
  <conditionalFormatting sqref="N35">
    <cfRule type="cellIs" dxfId="642" priority="1023" stopIfTrue="1" operator="equal">
      <formula>"S"</formula>
    </cfRule>
    <cfRule type="cellIs" dxfId="641" priority="1024" stopIfTrue="1" operator="equal">
      <formula>"D"</formula>
    </cfRule>
  </conditionalFormatting>
  <conditionalFormatting sqref="N35">
    <cfRule type="cellIs" dxfId="640" priority="1021" stopIfTrue="1" operator="equal">
      <formula>"S"</formula>
    </cfRule>
    <cfRule type="cellIs" dxfId="639" priority="1022" stopIfTrue="1" operator="equal">
      <formula>"D"</formula>
    </cfRule>
  </conditionalFormatting>
  <conditionalFormatting sqref="N34">
    <cfRule type="cellIs" dxfId="638" priority="1005" stopIfTrue="1" operator="equal">
      <formula>"S"</formula>
    </cfRule>
    <cfRule type="cellIs" dxfId="637" priority="1006" stopIfTrue="1" operator="equal">
      <formula>"D"</formula>
    </cfRule>
  </conditionalFormatting>
  <conditionalFormatting sqref="N7:R7 N34:R37">
    <cfRule type="cellIs" dxfId="636" priority="999" stopIfTrue="1" operator="equal">
      <formula>"S"</formula>
    </cfRule>
    <cfRule type="cellIs" dxfId="635" priority="1000" stopIfTrue="1" operator="equal">
      <formula>"D"</formula>
    </cfRule>
  </conditionalFormatting>
  <conditionalFormatting sqref="V37:Z37 X36:Z36 Z35">
    <cfRule type="cellIs" dxfId="634" priority="957" stopIfTrue="1" operator="equal">
      <formula>"S"</formula>
    </cfRule>
    <cfRule type="cellIs" dxfId="633" priority="958" stopIfTrue="1" operator="equal">
      <formula>"D"</formula>
    </cfRule>
  </conditionalFormatting>
  <conditionalFormatting sqref="W35">
    <cfRule type="cellIs" dxfId="632" priority="941" stopIfTrue="1" operator="equal">
      <formula>"S"</formula>
    </cfRule>
    <cfRule type="cellIs" dxfId="631" priority="942" stopIfTrue="1" operator="equal">
      <formula>"D"</formula>
    </cfRule>
  </conditionalFormatting>
  <conditionalFormatting sqref="W35">
    <cfRule type="cellIs" dxfId="630" priority="939" stopIfTrue="1" operator="equal">
      <formula>"S"</formula>
    </cfRule>
    <cfRule type="cellIs" dxfId="629" priority="940" stopIfTrue="1" operator="equal">
      <formula>"D"</formula>
    </cfRule>
  </conditionalFormatting>
  <conditionalFormatting sqref="V36">
    <cfRule type="cellIs" dxfId="628" priority="935" stopIfTrue="1" operator="equal">
      <formula>"S"</formula>
    </cfRule>
    <cfRule type="cellIs" dxfId="627" priority="936" stopIfTrue="1" operator="equal">
      <formula>"D"</formula>
    </cfRule>
  </conditionalFormatting>
  <conditionalFormatting sqref="V36">
    <cfRule type="cellIs" dxfId="626" priority="933" stopIfTrue="1" operator="equal">
      <formula>"S"</formula>
    </cfRule>
    <cfRule type="cellIs" dxfId="625" priority="934" stopIfTrue="1" operator="equal">
      <formula>"D"</formula>
    </cfRule>
  </conditionalFormatting>
  <conditionalFormatting sqref="W36">
    <cfRule type="cellIs" dxfId="624" priority="931" stopIfTrue="1" operator="equal">
      <formula>"S"</formula>
    </cfRule>
    <cfRule type="cellIs" dxfId="623" priority="932" stopIfTrue="1" operator="equal">
      <formula>"D"</formula>
    </cfRule>
  </conditionalFormatting>
  <conditionalFormatting sqref="W36">
    <cfRule type="cellIs" dxfId="622" priority="929" stopIfTrue="1" operator="equal">
      <formula>"S"</formula>
    </cfRule>
    <cfRule type="cellIs" dxfId="621" priority="930" stopIfTrue="1" operator="equal">
      <formula>"D"</formula>
    </cfRule>
  </conditionalFormatting>
  <conditionalFormatting sqref="V35">
    <cfRule type="cellIs" dxfId="620" priority="945" stopIfTrue="1" operator="equal">
      <formula>"S"</formula>
    </cfRule>
    <cfRule type="cellIs" dxfId="619" priority="946" stopIfTrue="1" operator="equal">
      <formula>"D"</formula>
    </cfRule>
  </conditionalFormatting>
  <conditionalFormatting sqref="V35">
    <cfRule type="cellIs" dxfId="618" priority="943" stopIfTrue="1" operator="equal">
      <formula>"S"</formula>
    </cfRule>
    <cfRule type="cellIs" dxfId="617" priority="944" stopIfTrue="1" operator="equal">
      <formula>"D"</formula>
    </cfRule>
  </conditionalFormatting>
  <conditionalFormatting sqref="V35:Z37">
    <cfRule type="cellIs" dxfId="616" priority="921" stopIfTrue="1" operator="equal">
      <formula>"S"</formula>
    </cfRule>
    <cfRule type="cellIs" dxfId="615" priority="922" stopIfTrue="1" operator="equal">
      <formula>"D"</formula>
    </cfRule>
  </conditionalFormatting>
  <conditionalFormatting sqref="AD37:AH37 AF36:AH36 AH31:AH35">
    <cfRule type="cellIs" dxfId="614" priority="879" stopIfTrue="1" operator="equal">
      <formula>"S"</formula>
    </cfRule>
    <cfRule type="cellIs" dxfId="613" priority="880" stopIfTrue="1" operator="equal">
      <formula>"D"</formula>
    </cfRule>
  </conditionalFormatting>
  <conditionalFormatting sqref="AE35">
    <cfRule type="cellIs" dxfId="612" priority="863" stopIfTrue="1" operator="equal">
      <formula>"S"</formula>
    </cfRule>
    <cfRule type="cellIs" dxfId="611" priority="864" stopIfTrue="1" operator="equal">
      <formula>"D"</formula>
    </cfRule>
  </conditionalFormatting>
  <conditionalFormatting sqref="AE35">
    <cfRule type="cellIs" dxfId="610" priority="861" stopIfTrue="1" operator="equal">
      <formula>"S"</formula>
    </cfRule>
    <cfRule type="cellIs" dxfId="609" priority="862" stopIfTrue="1" operator="equal">
      <formula>"D"</formula>
    </cfRule>
  </conditionalFormatting>
  <conditionalFormatting sqref="AD36">
    <cfRule type="cellIs" dxfId="608" priority="857" stopIfTrue="1" operator="equal">
      <formula>"S"</formula>
    </cfRule>
    <cfRule type="cellIs" dxfId="607" priority="858" stopIfTrue="1" operator="equal">
      <formula>"D"</formula>
    </cfRule>
  </conditionalFormatting>
  <conditionalFormatting sqref="AD36">
    <cfRule type="cellIs" dxfId="606" priority="855" stopIfTrue="1" operator="equal">
      <formula>"S"</formula>
    </cfRule>
    <cfRule type="cellIs" dxfId="605" priority="856" stopIfTrue="1" operator="equal">
      <formula>"D"</formula>
    </cfRule>
  </conditionalFormatting>
  <conditionalFormatting sqref="AE36">
    <cfRule type="cellIs" dxfId="604" priority="853" stopIfTrue="1" operator="equal">
      <formula>"S"</formula>
    </cfRule>
    <cfRule type="cellIs" dxfId="603" priority="854" stopIfTrue="1" operator="equal">
      <formula>"D"</formula>
    </cfRule>
  </conditionalFormatting>
  <conditionalFormatting sqref="AE36">
    <cfRule type="cellIs" dxfId="602" priority="851" stopIfTrue="1" operator="equal">
      <formula>"S"</formula>
    </cfRule>
    <cfRule type="cellIs" dxfId="601" priority="852" stopIfTrue="1" operator="equal">
      <formula>"D"</formula>
    </cfRule>
  </conditionalFormatting>
  <conditionalFormatting sqref="AD35">
    <cfRule type="cellIs" dxfId="600" priority="867" stopIfTrue="1" operator="equal">
      <formula>"S"</formula>
    </cfRule>
    <cfRule type="cellIs" dxfId="599" priority="868" stopIfTrue="1" operator="equal">
      <formula>"D"</formula>
    </cfRule>
  </conditionalFormatting>
  <conditionalFormatting sqref="AD35">
    <cfRule type="cellIs" dxfId="598" priority="865" stopIfTrue="1" operator="equal">
      <formula>"S"</formula>
    </cfRule>
    <cfRule type="cellIs" dxfId="597" priority="866" stopIfTrue="1" operator="equal">
      <formula>"D"</formula>
    </cfRule>
  </conditionalFormatting>
  <conditionalFormatting sqref="AD7:AH7 AD35:AH37 AH24:AH34 AH8:AH21 AD8:AG34">
    <cfRule type="cellIs" dxfId="596" priority="843" stopIfTrue="1" operator="equal">
      <formula>"S"</formula>
    </cfRule>
    <cfRule type="cellIs" dxfId="595" priority="844" stopIfTrue="1" operator="equal">
      <formula>"D"</formula>
    </cfRule>
  </conditionalFormatting>
  <conditionalFormatting sqref="AH29">
    <cfRule type="cellIs" dxfId="594" priority="827" stopIfTrue="1" operator="equal">
      <formula>"S"</formula>
    </cfRule>
    <cfRule type="cellIs" dxfId="593" priority="828" stopIfTrue="1" operator="equal">
      <formula>"D"</formula>
    </cfRule>
  </conditionalFormatting>
  <conditionalFormatting sqref="AH29">
    <cfRule type="cellIs" dxfId="592" priority="825" stopIfTrue="1" operator="equal">
      <formula>"S"</formula>
    </cfRule>
    <cfRule type="cellIs" dxfId="591" priority="826" stopIfTrue="1" operator="equal">
      <formula>"D"</formula>
    </cfRule>
  </conditionalFormatting>
  <conditionalFormatting sqref="AH30">
    <cfRule type="cellIs" dxfId="590" priority="823" stopIfTrue="1" operator="equal">
      <formula>"S"</formula>
    </cfRule>
    <cfRule type="cellIs" dxfId="589" priority="824" stopIfTrue="1" operator="equal">
      <formula>"D"</formula>
    </cfRule>
  </conditionalFormatting>
  <conditionalFormatting sqref="AH30">
    <cfRule type="cellIs" dxfId="588" priority="821" stopIfTrue="1" operator="equal">
      <formula>"S"</formula>
    </cfRule>
    <cfRule type="cellIs" dxfId="587" priority="822" stopIfTrue="1" operator="equal">
      <formula>"D"</formula>
    </cfRule>
  </conditionalFormatting>
  <conditionalFormatting sqref="AL32:AP33 AL37:AP37 AN36:AP36 AL31 AP31 AO29 AO34:AP34 AP35">
    <cfRule type="cellIs" dxfId="586" priority="801" stopIfTrue="1" operator="equal">
      <formula>"S"</formula>
    </cfRule>
    <cfRule type="cellIs" dxfId="585" priority="802" stopIfTrue="1" operator="equal">
      <formula>"D"</formula>
    </cfRule>
  </conditionalFormatting>
  <conditionalFormatting sqref="AL30">
    <cfRule type="cellIs" dxfId="584" priority="799" stopIfTrue="1" operator="equal">
      <formula>"S"</formula>
    </cfRule>
    <cfRule type="cellIs" dxfId="583" priority="800" stopIfTrue="1" operator="equal">
      <formula>"D"</formula>
    </cfRule>
  </conditionalFormatting>
  <conditionalFormatting sqref="AL30">
    <cfRule type="cellIs" dxfId="582" priority="797" stopIfTrue="1" operator="equal">
      <formula>"S"</formula>
    </cfRule>
    <cfRule type="cellIs" dxfId="581" priority="798" stopIfTrue="1" operator="equal">
      <formula>"D"</formula>
    </cfRule>
  </conditionalFormatting>
  <conditionalFormatting sqref="AN29">
    <cfRule type="cellIs" dxfId="580" priority="795" stopIfTrue="1" operator="equal">
      <formula>"S"</formula>
    </cfRule>
    <cfRule type="cellIs" dxfId="579" priority="796" stopIfTrue="1" operator="equal">
      <formula>"D"</formula>
    </cfRule>
  </conditionalFormatting>
  <conditionalFormatting sqref="AN30">
    <cfRule type="cellIs" dxfId="578" priority="791" stopIfTrue="1" operator="equal">
      <formula>"S"</formula>
    </cfRule>
    <cfRule type="cellIs" dxfId="577" priority="792" stopIfTrue="1" operator="equal">
      <formula>"D"</formula>
    </cfRule>
  </conditionalFormatting>
  <conditionalFormatting sqref="AM35">
    <cfRule type="cellIs" dxfId="576" priority="785" stopIfTrue="1" operator="equal">
      <formula>"S"</formula>
    </cfRule>
    <cfRule type="cellIs" dxfId="575" priority="786" stopIfTrue="1" operator="equal">
      <formula>"D"</formula>
    </cfRule>
  </conditionalFormatting>
  <conditionalFormatting sqref="AM35">
    <cfRule type="cellIs" dxfId="574" priority="783" stopIfTrue="1" operator="equal">
      <formula>"S"</formula>
    </cfRule>
    <cfRule type="cellIs" dxfId="573" priority="784" stopIfTrue="1" operator="equal">
      <formula>"D"</formula>
    </cfRule>
  </conditionalFormatting>
  <conditionalFormatting sqref="AM34">
    <cfRule type="cellIs" dxfId="572" priority="781" stopIfTrue="1" operator="equal">
      <formula>"S"</formula>
    </cfRule>
    <cfRule type="cellIs" dxfId="571" priority="782" stopIfTrue="1" operator="equal">
      <formula>"D"</formula>
    </cfRule>
  </conditionalFormatting>
  <conditionalFormatting sqref="AL36">
    <cfRule type="cellIs" dxfId="570" priority="779" stopIfTrue="1" operator="equal">
      <formula>"S"</formula>
    </cfRule>
    <cfRule type="cellIs" dxfId="569" priority="780" stopIfTrue="1" operator="equal">
      <formula>"D"</formula>
    </cfRule>
  </conditionalFormatting>
  <conditionalFormatting sqref="AL36">
    <cfRule type="cellIs" dxfId="568" priority="777" stopIfTrue="1" operator="equal">
      <formula>"S"</formula>
    </cfRule>
    <cfRule type="cellIs" dxfId="567" priority="778" stopIfTrue="1" operator="equal">
      <formula>"D"</formula>
    </cfRule>
  </conditionalFormatting>
  <conditionalFormatting sqref="AM36">
    <cfRule type="cellIs" dxfId="566" priority="775" stopIfTrue="1" operator="equal">
      <formula>"S"</formula>
    </cfRule>
    <cfRule type="cellIs" dxfId="565" priority="776" stopIfTrue="1" operator="equal">
      <formula>"D"</formula>
    </cfRule>
  </conditionalFormatting>
  <conditionalFormatting sqref="AM36">
    <cfRule type="cellIs" dxfId="564" priority="773" stopIfTrue="1" operator="equal">
      <formula>"S"</formula>
    </cfRule>
    <cfRule type="cellIs" dxfId="563" priority="774" stopIfTrue="1" operator="equal">
      <formula>"D"</formula>
    </cfRule>
  </conditionalFormatting>
  <conditionalFormatting sqref="AO30">
    <cfRule type="cellIs" dxfId="562" priority="793" stopIfTrue="1" operator="equal">
      <formula>"S"</formula>
    </cfRule>
    <cfRule type="cellIs" dxfId="561" priority="794" stopIfTrue="1" operator="equal">
      <formula>"D"</formula>
    </cfRule>
  </conditionalFormatting>
  <conditionalFormatting sqref="AL35">
    <cfRule type="cellIs" dxfId="560" priority="789" stopIfTrue="1" operator="equal">
      <formula>"S"</formula>
    </cfRule>
    <cfRule type="cellIs" dxfId="559" priority="790" stopIfTrue="1" operator="equal">
      <formula>"D"</formula>
    </cfRule>
  </conditionalFormatting>
  <conditionalFormatting sqref="AL35">
    <cfRule type="cellIs" dxfId="558" priority="787" stopIfTrue="1" operator="equal">
      <formula>"S"</formula>
    </cfRule>
    <cfRule type="cellIs" dxfId="557" priority="788" stopIfTrue="1" operator="equal">
      <formula>"D"</formula>
    </cfRule>
  </conditionalFormatting>
  <conditionalFormatting sqref="AL34">
    <cfRule type="cellIs" dxfId="556" priority="771" stopIfTrue="1" operator="equal">
      <formula>"S"</formula>
    </cfRule>
    <cfRule type="cellIs" dxfId="555" priority="772" stopIfTrue="1" operator="equal">
      <formula>"D"</formula>
    </cfRule>
  </conditionalFormatting>
  <conditionalFormatting sqref="AM31:AN31">
    <cfRule type="cellIs" dxfId="554" priority="769" stopIfTrue="1" operator="equal">
      <formula>"S"</formula>
    </cfRule>
    <cfRule type="cellIs" dxfId="553" priority="770" stopIfTrue="1" operator="equal">
      <formula>"D"</formula>
    </cfRule>
  </conditionalFormatting>
  <conditionalFormatting sqref="AL29">
    <cfRule type="cellIs" dxfId="552" priority="767" stopIfTrue="1" operator="equal">
      <formula>"S"</formula>
    </cfRule>
    <cfRule type="cellIs" dxfId="551" priority="768" stopIfTrue="1" operator="equal">
      <formula>"D"</formula>
    </cfRule>
  </conditionalFormatting>
  <conditionalFormatting sqref="AL7:AP13 AL22:AP26 AL21 AP21 AL14 AP14 AN14 AL32:AP37 AL31:AN31 AP31 AL28:AP30 AL27 AO27:AP27 AL15:AP20">
    <cfRule type="cellIs" dxfId="550" priority="765" stopIfTrue="1" operator="equal">
      <formula>"S"</formula>
    </cfRule>
    <cfRule type="cellIs" dxfId="549" priority="766" stopIfTrue="1" operator="equal">
      <formula>"D"</formula>
    </cfRule>
  </conditionalFormatting>
  <conditionalFormatting sqref="AM29">
    <cfRule type="cellIs" dxfId="548" priority="763" stopIfTrue="1" operator="equal">
      <formula>"S"</formula>
    </cfRule>
    <cfRule type="cellIs" dxfId="547" priority="764" stopIfTrue="1" operator="equal">
      <formula>"D"</formula>
    </cfRule>
  </conditionalFormatting>
  <conditionalFormatting sqref="AM29">
    <cfRule type="cellIs" dxfId="546" priority="761" stopIfTrue="1" operator="equal">
      <formula>"S"</formula>
    </cfRule>
    <cfRule type="cellIs" dxfId="545" priority="762" stopIfTrue="1" operator="equal">
      <formula>"D"</formula>
    </cfRule>
  </conditionalFormatting>
  <conditionalFormatting sqref="AM30">
    <cfRule type="cellIs" dxfId="544" priority="759" stopIfTrue="1" operator="equal">
      <formula>"S"</formula>
    </cfRule>
    <cfRule type="cellIs" dxfId="543" priority="760" stopIfTrue="1" operator="equal">
      <formula>"D"</formula>
    </cfRule>
  </conditionalFormatting>
  <conditionalFormatting sqref="AM30">
    <cfRule type="cellIs" dxfId="542" priority="757" stopIfTrue="1" operator="equal">
      <formula>"S"</formula>
    </cfRule>
    <cfRule type="cellIs" dxfId="541" priority="758" stopIfTrue="1" operator="equal">
      <formula>"D"</formula>
    </cfRule>
  </conditionalFormatting>
  <conditionalFormatting sqref="AN15">
    <cfRule type="cellIs" dxfId="540" priority="755" stopIfTrue="1" operator="equal">
      <formula>"S"</formula>
    </cfRule>
    <cfRule type="cellIs" dxfId="539" priority="756" stopIfTrue="1" operator="equal">
      <formula>"D"</formula>
    </cfRule>
  </conditionalFormatting>
  <conditionalFormatting sqref="AN20">
    <cfRule type="cellIs" dxfId="538" priority="753" stopIfTrue="1" operator="equal">
      <formula>"S"</formula>
    </cfRule>
    <cfRule type="cellIs" dxfId="537" priority="754" stopIfTrue="1" operator="equal">
      <formula>"D"</formula>
    </cfRule>
  </conditionalFormatting>
  <conditionalFormatting sqref="AL21">
    <cfRule type="cellIs" dxfId="536" priority="751" stopIfTrue="1" operator="equal">
      <formula>"S"</formula>
    </cfRule>
    <cfRule type="cellIs" dxfId="535" priority="752" stopIfTrue="1" operator="equal">
      <formula>"D"</formula>
    </cfRule>
  </conditionalFormatting>
  <conditionalFormatting sqref="AP29">
    <cfRule type="cellIs" dxfId="534" priority="749" stopIfTrue="1" operator="equal">
      <formula>"S"</formula>
    </cfRule>
    <cfRule type="cellIs" dxfId="533" priority="750" stopIfTrue="1" operator="equal">
      <formula>"D"</formula>
    </cfRule>
  </conditionalFormatting>
  <conditionalFormatting sqref="AP29">
    <cfRule type="cellIs" dxfId="532" priority="747" stopIfTrue="1" operator="equal">
      <formula>"S"</formula>
    </cfRule>
    <cfRule type="cellIs" dxfId="531" priority="748" stopIfTrue="1" operator="equal">
      <formula>"D"</formula>
    </cfRule>
  </conditionalFormatting>
  <conditionalFormatting sqref="AP30">
    <cfRule type="cellIs" dxfId="530" priority="745" stopIfTrue="1" operator="equal">
      <formula>"S"</formula>
    </cfRule>
    <cfRule type="cellIs" dxfId="529" priority="746" stopIfTrue="1" operator="equal">
      <formula>"D"</formula>
    </cfRule>
  </conditionalFormatting>
  <conditionalFormatting sqref="AP30">
    <cfRule type="cellIs" dxfId="528" priority="743" stopIfTrue="1" operator="equal">
      <formula>"S"</formula>
    </cfRule>
    <cfRule type="cellIs" dxfId="527" priority="744" stopIfTrue="1" operator="equal">
      <formula>"D"</formula>
    </cfRule>
  </conditionalFormatting>
  <conditionalFormatting sqref="AN13">
    <cfRule type="cellIs" dxfId="526" priority="741" stopIfTrue="1" operator="equal">
      <formula>"S"</formula>
    </cfRule>
    <cfRule type="cellIs" dxfId="525" priority="742" stopIfTrue="1" operator="equal">
      <formula>"D"</formula>
    </cfRule>
  </conditionalFormatting>
  <conditionalFormatting sqref="AN13">
    <cfRule type="cellIs" dxfId="524" priority="739" stopIfTrue="1" operator="equal">
      <formula>"S"</formula>
    </cfRule>
    <cfRule type="cellIs" dxfId="523" priority="740" stopIfTrue="1" operator="equal">
      <formula>"D"</formula>
    </cfRule>
  </conditionalFormatting>
  <conditionalFormatting sqref="AN14">
    <cfRule type="cellIs" dxfId="522" priority="737" stopIfTrue="1" operator="equal">
      <formula>"S"</formula>
    </cfRule>
    <cfRule type="cellIs" dxfId="521" priority="738" stopIfTrue="1" operator="equal">
      <formula>"D"</formula>
    </cfRule>
  </conditionalFormatting>
  <conditionalFormatting sqref="AN14">
    <cfRule type="cellIs" dxfId="520" priority="735" stopIfTrue="1" operator="equal">
      <formula>"S"</formula>
    </cfRule>
    <cfRule type="cellIs" dxfId="519" priority="736" stopIfTrue="1" operator="equal">
      <formula>"D"</formula>
    </cfRule>
  </conditionalFormatting>
  <conditionalFormatting sqref="AM27:AN27">
    <cfRule type="cellIs" dxfId="518" priority="731" stopIfTrue="1" operator="equal">
      <formula>"S"</formula>
    </cfRule>
    <cfRule type="cellIs" dxfId="517" priority="732" stopIfTrue="1" operator="equal">
      <formula>"D"</formula>
    </cfRule>
  </conditionalFormatting>
  <conditionalFormatting sqref="AM27:AN27">
    <cfRule type="cellIs" dxfId="516" priority="729" stopIfTrue="1" operator="equal">
      <formula>"S"</formula>
    </cfRule>
    <cfRule type="cellIs" dxfId="515" priority="730" stopIfTrue="1" operator="equal">
      <formula>"D"</formula>
    </cfRule>
  </conditionalFormatting>
  <conditionalFormatting sqref="AM27:AN27">
    <cfRule type="cellIs" dxfId="514" priority="727" stopIfTrue="1" operator="equal">
      <formula>"S"</formula>
    </cfRule>
    <cfRule type="cellIs" dxfId="513" priority="728" stopIfTrue="1" operator="equal">
      <formula>"D"</formula>
    </cfRule>
  </conditionalFormatting>
  <conditionalFormatting sqref="AM27:AN27">
    <cfRule type="cellIs" dxfId="512" priority="725" stopIfTrue="1" operator="equal">
      <formula>"S"</formula>
    </cfRule>
    <cfRule type="cellIs" dxfId="511" priority="726" stopIfTrue="1" operator="equal">
      <formula>"D"</formula>
    </cfRule>
  </conditionalFormatting>
  <conditionalFormatting sqref="AM27:AN27">
    <cfRule type="cellIs" dxfId="510" priority="733" stopIfTrue="1" operator="equal">
      <formula>"S"</formula>
    </cfRule>
    <cfRule type="cellIs" dxfId="509" priority="734" stopIfTrue="1" operator="equal">
      <formula>"D"</formula>
    </cfRule>
  </conditionalFormatting>
  <conditionalFormatting sqref="AT32:AX33 AT37:AX37 AV36:AX36 AT31 AX31 AW29 AW34:AX34 AX35">
    <cfRule type="cellIs" dxfId="508" priority="723" stopIfTrue="1" operator="equal">
      <formula>"S"</formula>
    </cfRule>
    <cfRule type="cellIs" dxfId="507" priority="724" stopIfTrue="1" operator="equal">
      <formula>"D"</formula>
    </cfRule>
  </conditionalFormatting>
  <conditionalFormatting sqref="AT30">
    <cfRule type="cellIs" dxfId="506" priority="721" stopIfTrue="1" operator="equal">
      <formula>"S"</formula>
    </cfRule>
    <cfRule type="cellIs" dxfId="505" priority="722" stopIfTrue="1" operator="equal">
      <formula>"D"</formula>
    </cfRule>
  </conditionalFormatting>
  <conditionalFormatting sqref="AT30">
    <cfRule type="cellIs" dxfId="504" priority="719" stopIfTrue="1" operator="equal">
      <formula>"S"</formula>
    </cfRule>
    <cfRule type="cellIs" dxfId="503" priority="720" stopIfTrue="1" operator="equal">
      <formula>"D"</formula>
    </cfRule>
  </conditionalFormatting>
  <conditionalFormatting sqref="AV29">
    <cfRule type="cellIs" dxfId="502" priority="717" stopIfTrue="1" operator="equal">
      <formula>"S"</formula>
    </cfRule>
    <cfRule type="cellIs" dxfId="501" priority="718" stopIfTrue="1" operator="equal">
      <formula>"D"</formula>
    </cfRule>
  </conditionalFormatting>
  <conditionalFormatting sqref="AV30">
    <cfRule type="cellIs" dxfId="500" priority="713" stopIfTrue="1" operator="equal">
      <formula>"S"</formula>
    </cfRule>
    <cfRule type="cellIs" dxfId="499" priority="714" stopIfTrue="1" operator="equal">
      <formula>"D"</formula>
    </cfRule>
  </conditionalFormatting>
  <conditionalFormatting sqref="AU35">
    <cfRule type="cellIs" dxfId="498" priority="707" stopIfTrue="1" operator="equal">
      <formula>"S"</formula>
    </cfRule>
    <cfRule type="cellIs" dxfId="497" priority="708" stopIfTrue="1" operator="equal">
      <formula>"D"</formula>
    </cfRule>
  </conditionalFormatting>
  <conditionalFormatting sqref="AU35">
    <cfRule type="cellIs" dxfId="496" priority="705" stopIfTrue="1" operator="equal">
      <formula>"S"</formula>
    </cfRule>
    <cfRule type="cellIs" dxfId="495" priority="706" stopIfTrue="1" operator="equal">
      <formula>"D"</formula>
    </cfRule>
  </conditionalFormatting>
  <conditionalFormatting sqref="AU34">
    <cfRule type="cellIs" dxfId="494" priority="703" stopIfTrue="1" operator="equal">
      <formula>"S"</formula>
    </cfRule>
    <cfRule type="cellIs" dxfId="493" priority="704" stopIfTrue="1" operator="equal">
      <formula>"D"</formula>
    </cfRule>
  </conditionalFormatting>
  <conditionalFormatting sqref="AT36">
    <cfRule type="cellIs" dxfId="492" priority="701" stopIfTrue="1" operator="equal">
      <formula>"S"</formula>
    </cfRule>
    <cfRule type="cellIs" dxfId="491" priority="702" stopIfTrue="1" operator="equal">
      <formula>"D"</formula>
    </cfRule>
  </conditionalFormatting>
  <conditionalFormatting sqref="AT36">
    <cfRule type="cellIs" dxfId="490" priority="699" stopIfTrue="1" operator="equal">
      <formula>"S"</formula>
    </cfRule>
    <cfRule type="cellIs" dxfId="489" priority="700" stopIfTrue="1" operator="equal">
      <formula>"D"</formula>
    </cfRule>
  </conditionalFormatting>
  <conditionalFormatting sqref="AU36">
    <cfRule type="cellIs" dxfId="488" priority="697" stopIfTrue="1" operator="equal">
      <formula>"S"</formula>
    </cfRule>
    <cfRule type="cellIs" dxfId="487" priority="698" stopIfTrue="1" operator="equal">
      <formula>"D"</formula>
    </cfRule>
  </conditionalFormatting>
  <conditionalFormatting sqref="AU36">
    <cfRule type="cellIs" dxfId="486" priority="695" stopIfTrue="1" operator="equal">
      <formula>"S"</formula>
    </cfRule>
    <cfRule type="cellIs" dxfId="485" priority="696" stopIfTrue="1" operator="equal">
      <formula>"D"</formula>
    </cfRule>
  </conditionalFormatting>
  <conditionalFormatting sqref="AW30">
    <cfRule type="cellIs" dxfId="484" priority="715" stopIfTrue="1" operator="equal">
      <formula>"S"</formula>
    </cfRule>
    <cfRule type="cellIs" dxfId="483" priority="716" stopIfTrue="1" operator="equal">
      <formula>"D"</formula>
    </cfRule>
  </conditionalFormatting>
  <conditionalFormatting sqref="AT35">
    <cfRule type="cellIs" dxfId="482" priority="711" stopIfTrue="1" operator="equal">
      <formula>"S"</formula>
    </cfRule>
    <cfRule type="cellIs" dxfId="481" priority="712" stopIfTrue="1" operator="equal">
      <formula>"D"</formula>
    </cfRule>
  </conditionalFormatting>
  <conditionalFormatting sqref="AT35">
    <cfRule type="cellIs" dxfId="480" priority="709" stopIfTrue="1" operator="equal">
      <formula>"S"</formula>
    </cfRule>
    <cfRule type="cellIs" dxfId="479" priority="710" stopIfTrue="1" operator="equal">
      <formula>"D"</formula>
    </cfRule>
  </conditionalFormatting>
  <conditionalFormatting sqref="AT34">
    <cfRule type="cellIs" dxfId="478" priority="693" stopIfTrue="1" operator="equal">
      <formula>"S"</formula>
    </cfRule>
    <cfRule type="cellIs" dxfId="477" priority="694" stopIfTrue="1" operator="equal">
      <formula>"D"</formula>
    </cfRule>
  </conditionalFormatting>
  <conditionalFormatting sqref="AU31:AV31">
    <cfRule type="cellIs" dxfId="476" priority="691" stopIfTrue="1" operator="equal">
      <formula>"S"</formula>
    </cfRule>
    <cfRule type="cellIs" dxfId="475" priority="692" stopIfTrue="1" operator="equal">
      <formula>"D"</formula>
    </cfRule>
  </conditionalFormatting>
  <conditionalFormatting sqref="AT29">
    <cfRule type="cellIs" dxfId="474" priority="689" stopIfTrue="1" operator="equal">
      <formula>"S"</formula>
    </cfRule>
    <cfRule type="cellIs" dxfId="473" priority="690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472" priority="687" stopIfTrue="1" operator="equal">
      <formula>"S"</formula>
    </cfRule>
    <cfRule type="cellIs" dxfId="471" priority="688" stopIfTrue="1" operator="equal">
      <formula>"D"</formula>
    </cfRule>
  </conditionalFormatting>
  <conditionalFormatting sqref="AU29">
    <cfRule type="cellIs" dxfId="470" priority="685" stopIfTrue="1" operator="equal">
      <formula>"S"</formula>
    </cfRule>
    <cfRule type="cellIs" dxfId="469" priority="686" stopIfTrue="1" operator="equal">
      <formula>"D"</formula>
    </cfRule>
  </conditionalFormatting>
  <conditionalFormatting sqref="AU29">
    <cfRule type="cellIs" dxfId="468" priority="683" stopIfTrue="1" operator="equal">
      <formula>"S"</formula>
    </cfRule>
    <cfRule type="cellIs" dxfId="467" priority="684" stopIfTrue="1" operator="equal">
      <formula>"D"</formula>
    </cfRule>
  </conditionalFormatting>
  <conditionalFormatting sqref="AU30">
    <cfRule type="cellIs" dxfId="466" priority="681" stopIfTrue="1" operator="equal">
      <formula>"S"</formula>
    </cfRule>
    <cfRule type="cellIs" dxfId="465" priority="682" stopIfTrue="1" operator="equal">
      <formula>"D"</formula>
    </cfRule>
  </conditionalFormatting>
  <conditionalFormatting sqref="AU30">
    <cfRule type="cellIs" dxfId="464" priority="679" stopIfTrue="1" operator="equal">
      <formula>"S"</formula>
    </cfRule>
    <cfRule type="cellIs" dxfId="463" priority="680" stopIfTrue="1" operator="equal">
      <formula>"D"</formula>
    </cfRule>
  </conditionalFormatting>
  <conditionalFormatting sqref="AV15">
    <cfRule type="cellIs" dxfId="462" priority="677" stopIfTrue="1" operator="equal">
      <formula>"S"</formula>
    </cfRule>
    <cfRule type="cellIs" dxfId="461" priority="678" stopIfTrue="1" operator="equal">
      <formula>"D"</formula>
    </cfRule>
  </conditionalFormatting>
  <conditionalFormatting sqref="AT21">
    <cfRule type="cellIs" dxfId="460" priority="673" stopIfTrue="1" operator="equal">
      <formula>"S"</formula>
    </cfRule>
    <cfRule type="cellIs" dxfId="459" priority="674" stopIfTrue="1" operator="equal">
      <formula>"D"</formula>
    </cfRule>
  </conditionalFormatting>
  <conditionalFormatting sqref="AX29">
    <cfRule type="cellIs" dxfId="458" priority="671" stopIfTrue="1" operator="equal">
      <formula>"S"</formula>
    </cfRule>
    <cfRule type="cellIs" dxfId="457" priority="672" stopIfTrue="1" operator="equal">
      <formula>"D"</formula>
    </cfRule>
  </conditionalFormatting>
  <conditionalFormatting sqref="AX29">
    <cfRule type="cellIs" dxfId="456" priority="669" stopIfTrue="1" operator="equal">
      <formula>"S"</formula>
    </cfRule>
    <cfRule type="cellIs" dxfId="455" priority="670" stopIfTrue="1" operator="equal">
      <formula>"D"</formula>
    </cfRule>
  </conditionalFormatting>
  <conditionalFormatting sqref="AX30">
    <cfRule type="cellIs" dxfId="454" priority="667" stopIfTrue="1" operator="equal">
      <formula>"S"</formula>
    </cfRule>
    <cfRule type="cellIs" dxfId="453" priority="668" stopIfTrue="1" operator="equal">
      <formula>"D"</formula>
    </cfRule>
  </conditionalFormatting>
  <conditionalFormatting sqref="AX30">
    <cfRule type="cellIs" dxfId="452" priority="665" stopIfTrue="1" operator="equal">
      <formula>"S"</formula>
    </cfRule>
    <cfRule type="cellIs" dxfId="451" priority="666" stopIfTrue="1" operator="equal">
      <formula>"D"</formula>
    </cfRule>
  </conditionalFormatting>
  <conditionalFormatting sqref="AV13">
    <cfRule type="cellIs" dxfId="450" priority="663" stopIfTrue="1" operator="equal">
      <formula>"S"</formula>
    </cfRule>
    <cfRule type="cellIs" dxfId="449" priority="664" stopIfTrue="1" operator="equal">
      <formula>"D"</formula>
    </cfRule>
  </conditionalFormatting>
  <conditionalFormatting sqref="AV13">
    <cfRule type="cellIs" dxfId="448" priority="661" stopIfTrue="1" operator="equal">
      <formula>"S"</formula>
    </cfRule>
    <cfRule type="cellIs" dxfId="447" priority="662" stopIfTrue="1" operator="equal">
      <formula>"D"</formula>
    </cfRule>
  </conditionalFormatting>
  <conditionalFormatting sqref="AW14">
    <cfRule type="cellIs" dxfId="446" priority="659" stopIfTrue="1" operator="equal">
      <formula>"S"</formula>
    </cfRule>
    <cfRule type="cellIs" dxfId="445" priority="660" stopIfTrue="1" operator="equal">
      <formula>"D"</formula>
    </cfRule>
  </conditionalFormatting>
  <conditionalFormatting sqref="AW14">
    <cfRule type="cellIs" dxfId="444" priority="657" stopIfTrue="1" operator="equal">
      <formula>"S"</formula>
    </cfRule>
    <cfRule type="cellIs" dxfId="443" priority="658" stopIfTrue="1" operator="equal">
      <formula>"D"</formula>
    </cfRule>
  </conditionalFormatting>
  <conditionalFormatting sqref="AU27:AV27">
    <cfRule type="cellIs" dxfId="442" priority="653" stopIfTrue="1" operator="equal">
      <formula>"S"</formula>
    </cfRule>
    <cfRule type="cellIs" dxfId="441" priority="654" stopIfTrue="1" operator="equal">
      <formula>"D"</formula>
    </cfRule>
  </conditionalFormatting>
  <conditionalFormatting sqref="AU27:AV27">
    <cfRule type="cellIs" dxfId="440" priority="651" stopIfTrue="1" operator="equal">
      <formula>"S"</formula>
    </cfRule>
    <cfRule type="cellIs" dxfId="439" priority="652" stopIfTrue="1" operator="equal">
      <formula>"D"</formula>
    </cfRule>
  </conditionalFormatting>
  <conditionalFormatting sqref="AU27:AV27">
    <cfRule type="cellIs" dxfId="438" priority="649" stopIfTrue="1" operator="equal">
      <formula>"S"</formula>
    </cfRule>
    <cfRule type="cellIs" dxfId="437" priority="650" stopIfTrue="1" operator="equal">
      <formula>"D"</formula>
    </cfRule>
  </conditionalFormatting>
  <conditionalFormatting sqref="AU27:AV27">
    <cfRule type="cellIs" dxfId="436" priority="647" stopIfTrue="1" operator="equal">
      <formula>"S"</formula>
    </cfRule>
    <cfRule type="cellIs" dxfId="435" priority="648" stopIfTrue="1" operator="equal">
      <formula>"D"</formula>
    </cfRule>
  </conditionalFormatting>
  <conditionalFormatting sqref="AU27:AV27">
    <cfRule type="cellIs" dxfId="434" priority="655" stopIfTrue="1" operator="equal">
      <formula>"S"</formula>
    </cfRule>
    <cfRule type="cellIs" dxfId="433" priority="656" stopIfTrue="1" operator="equal">
      <formula>"D"</formula>
    </cfRule>
  </conditionalFormatting>
  <conditionalFormatting sqref="BB32:BF33 BB37:BF37 BD36:BF36 BB31 BF31 BE29 BE34:BF34 BF35">
    <cfRule type="cellIs" dxfId="432" priority="645" stopIfTrue="1" operator="equal">
      <formula>"S"</formula>
    </cfRule>
    <cfRule type="cellIs" dxfId="431" priority="646" stopIfTrue="1" operator="equal">
      <formula>"D"</formula>
    </cfRule>
  </conditionalFormatting>
  <conditionalFormatting sqref="BB30">
    <cfRule type="cellIs" dxfId="430" priority="643" stopIfTrue="1" operator="equal">
      <formula>"S"</formula>
    </cfRule>
    <cfRule type="cellIs" dxfId="429" priority="644" stopIfTrue="1" operator="equal">
      <formula>"D"</formula>
    </cfRule>
  </conditionalFormatting>
  <conditionalFormatting sqref="BB30">
    <cfRule type="cellIs" dxfId="428" priority="641" stopIfTrue="1" operator="equal">
      <formula>"S"</formula>
    </cfRule>
    <cfRule type="cellIs" dxfId="427" priority="642" stopIfTrue="1" operator="equal">
      <formula>"D"</formula>
    </cfRule>
  </conditionalFormatting>
  <conditionalFormatting sqref="BD29">
    <cfRule type="cellIs" dxfId="426" priority="639" stopIfTrue="1" operator="equal">
      <formula>"S"</formula>
    </cfRule>
    <cfRule type="cellIs" dxfId="425" priority="640" stopIfTrue="1" operator="equal">
      <formula>"D"</formula>
    </cfRule>
  </conditionalFormatting>
  <conditionalFormatting sqref="BD30">
    <cfRule type="cellIs" dxfId="424" priority="635" stopIfTrue="1" operator="equal">
      <formula>"S"</formula>
    </cfRule>
    <cfRule type="cellIs" dxfId="423" priority="636" stopIfTrue="1" operator="equal">
      <formula>"D"</formula>
    </cfRule>
  </conditionalFormatting>
  <conditionalFormatting sqref="BC35">
    <cfRule type="cellIs" dxfId="422" priority="629" stopIfTrue="1" operator="equal">
      <formula>"S"</formula>
    </cfRule>
    <cfRule type="cellIs" dxfId="421" priority="630" stopIfTrue="1" operator="equal">
      <formula>"D"</formula>
    </cfRule>
  </conditionalFormatting>
  <conditionalFormatting sqref="BC35">
    <cfRule type="cellIs" dxfId="420" priority="627" stopIfTrue="1" operator="equal">
      <formula>"S"</formula>
    </cfRule>
    <cfRule type="cellIs" dxfId="419" priority="628" stopIfTrue="1" operator="equal">
      <formula>"D"</formula>
    </cfRule>
  </conditionalFormatting>
  <conditionalFormatting sqref="BC34">
    <cfRule type="cellIs" dxfId="418" priority="625" stopIfTrue="1" operator="equal">
      <formula>"S"</formula>
    </cfRule>
    <cfRule type="cellIs" dxfId="417" priority="626" stopIfTrue="1" operator="equal">
      <formula>"D"</formula>
    </cfRule>
  </conditionalFormatting>
  <conditionalFormatting sqref="BB36">
    <cfRule type="cellIs" dxfId="416" priority="623" stopIfTrue="1" operator="equal">
      <formula>"S"</formula>
    </cfRule>
    <cfRule type="cellIs" dxfId="415" priority="624" stopIfTrue="1" operator="equal">
      <formula>"D"</formula>
    </cfRule>
  </conditionalFormatting>
  <conditionalFormatting sqref="BB36">
    <cfRule type="cellIs" dxfId="414" priority="621" stopIfTrue="1" operator="equal">
      <formula>"S"</formula>
    </cfRule>
    <cfRule type="cellIs" dxfId="413" priority="622" stopIfTrue="1" operator="equal">
      <formula>"D"</formula>
    </cfRule>
  </conditionalFormatting>
  <conditionalFormatting sqref="BC36">
    <cfRule type="cellIs" dxfId="412" priority="619" stopIfTrue="1" operator="equal">
      <formula>"S"</formula>
    </cfRule>
    <cfRule type="cellIs" dxfId="411" priority="620" stopIfTrue="1" operator="equal">
      <formula>"D"</formula>
    </cfRule>
  </conditionalFormatting>
  <conditionalFormatting sqref="BC36">
    <cfRule type="cellIs" dxfId="410" priority="617" stopIfTrue="1" operator="equal">
      <formula>"S"</formula>
    </cfRule>
    <cfRule type="cellIs" dxfId="409" priority="618" stopIfTrue="1" operator="equal">
      <formula>"D"</formula>
    </cfRule>
  </conditionalFormatting>
  <conditionalFormatting sqref="BE30">
    <cfRule type="cellIs" dxfId="408" priority="637" stopIfTrue="1" operator="equal">
      <formula>"S"</formula>
    </cfRule>
    <cfRule type="cellIs" dxfId="407" priority="638" stopIfTrue="1" operator="equal">
      <formula>"D"</formula>
    </cfRule>
  </conditionalFormatting>
  <conditionalFormatting sqref="BB35">
    <cfRule type="cellIs" dxfId="406" priority="633" stopIfTrue="1" operator="equal">
      <formula>"S"</formula>
    </cfRule>
    <cfRule type="cellIs" dxfId="405" priority="634" stopIfTrue="1" operator="equal">
      <formula>"D"</formula>
    </cfRule>
  </conditionalFormatting>
  <conditionalFormatting sqref="BB35">
    <cfRule type="cellIs" dxfId="404" priority="631" stopIfTrue="1" operator="equal">
      <formula>"S"</formula>
    </cfRule>
    <cfRule type="cellIs" dxfId="403" priority="632" stopIfTrue="1" operator="equal">
      <formula>"D"</formula>
    </cfRule>
  </conditionalFormatting>
  <conditionalFormatting sqref="BB34">
    <cfRule type="cellIs" dxfId="402" priority="615" stopIfTrue="1" operator="equal">
      <formula>"S"</formula>
    </cfRule>
    <cfRule type="cellIs" dxfId="401" priority="616" stopIfTrue="1" operator="equal">
      <formula>"D"</formula>
    </cfRule>
  </conditionalFormatting>
  <conditionalFormatting sqref="BC31:BD31">
    <cfRule type="cellIs" dxfId="400" priority="613" stopIfTrue="1" operator="equal">
      <formula>"S"</formula>
    </cfRule>
    <cfRule type="cellIs" dxfId="399" priority="614" stopIfTrue="1" operator="equal">
      <formula>"D"</formula>
    </cfRule>
  </conditionalFormatting>
  <conditionalFormatting sqref="BB29">
    <cfRule type="cellIs" dxfId="398" priority="611" stopIfTrue="1" operator="equal">
      <formula>"S"</formula>
    </cfRule>
    <cfRule type="cellIs" dxfId="397" priority="612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396" priority="609" stopIfTrue="1" operator="equal">
      <formula>"S"</formula>
    </cfRule>
    <cfRule type="cellIs" dxfId="395" priority="610" stopIfTrue="1" operator="equal">
      <formula>"D"</formula>
    </cfRule>
  </conditionalFormatting>
  <conditionalFormatting sqref="BC29">
    <cfRule type="cellIs" dxfId="394" priority="607" stopIfTrue="1" operator="equal">
      <formula>"S"</formula>
    </cfRule>
    <cfRule type="cellIs" dxfId="393" priority="608" stopIfTrue="1" operator="equal">
      <formula>"D"</formula>
    </cfRule>
  </conditionalFormatting>
  <conditionalFormatting sqref="BC29">
    <cfRule type="cellIs" dxfId="392" priority="605" stopIfTrue="1" operator="equal">
      <formula>"S"</formula>
    </cfRule>
    <cfRule type="cellIs" dxfId="391" priority="606" stopIfTrue="1" operator="equal">
      <formula>"D"</formula>
    </cfRule>
  </conditionalFormatting>
  <conditionalFormatting sqref="BC30">
    <cfRule type="cellIs" dxfId="390" priority="603" stopIfTrue="1" operator="equal">
      <formula>"S"</formula>
    </cfRule>
    <cfRule type="cellIs" dxfId="389" priority="604" stopIfTrue="1" operator="equal">
      <formula>"D"</formula>
    </cfRule>
  </conditionalFormatting>
  <conditionalFormatting sqref="BC30">
    <cfRule type="cellIs" dxfId="388" priority="601" stopIfTrue="1" operator="equal">
      <formula>"S"</formula>
    </cfRule>
    <cfRule type="cellIs" dxfId="387" priority="602" stopIfTrue="1" operator="equal">
      <formula>"D"</formula>
    </cfRule>
  </conditionalFormatting>
  <conditionalFormatting sqref="BD15">
    <cfRule type="cellIs" dxfId="386" priority="599" stopIfTrue="1" operator="equal">
      <formula>"S"</formula>
    </cfRule>
    <cfRule type="cellIs" dxfId="385" priority="600" stopIfTrue="1" operator="equal">
      <formula>"D"</formula>
    </cfRule>
  </conditionalFormatting>
  <conditionalFormatting sqref="BB21">
    <cfRule type="cellIs" dxfId="384" priority="595" stopIfTrue="1" operator="equal">
      <formula>"S"</formula>
    </cfRule>
    <cfRule type="cellIs" dxfId="383" priority="596" stopIfTrue="1" operator="equal">
      <formula>"D"</formula>
    </cfRule>
  </conditionalFormatting>
  <conditionalFormatting sqref="BF29">
    <cfRule type="cellIs" dxfId="382" priority="593" stopIfTrue="1" operator="equal">
      <formula>"S"</formula>
    </cfRule>
    <cfRule type="cellIs" dxfId="381" priority="594" stopIfTrue="1" operator="equal">
      <formula>"D"</formula>
    </cfRule>
  </conditionalFormatting>
  <conditionalFormatting sqref="BF29">
    <cfRule type="cellIs" dxfId="380" priority="591" stopIfTrue="1" operator="equal">
      <formula>"S"</formula>
    </cfRule>
    <cfRule type="cellIs" dxfId="379" priority="592" stopIfTrue="1" operator="equal">
      <formula>"D"</formula>
    </cfRule>
  </conditionalFormatting>
  <conditionalFormatting sqref="BF30">
    <cfRule type="cellIs" dxfId="378" priority="589" stopIfTrue="1" operator="equal">
      <formula>"S"</formula>
    </cfRule>
    <cfRule type="cellIs" dxfId="377" priority="590" stopIfTrue="1" operator="equal">
      <formula>"D"</formula>
    </cfRule>
  </conditionalFormatting>
  <conditionalFormatting sqref="BF30">
    <cfRule type="cellIs" dxfId="376" priority="587" stopIfTrue="1" operator="equal">
      <formula>"S"</formula>
    </cfRule>
    <cfRule type="cellIs" dxfId="375" priority="588" stopIfTrue="1" operator="equal">
      <formula>"D"</formula>
    </cfRule>
  </conditionalFormatting>
  <conditionalFormatting sqref="BD13">
    <cfRule type="cellIs" dxfId="374" priority="585" stopIfTrue="1" operator="equal">
      <formula>"S"</formula>
    </cfRule>
    <cfRule type="cellIs" dxfId="373" priority="586" stopIfTrue="1" operator="equal">
      <formula>"D"</formula>
    </cfRule>
  </conditionalFormatting>
  <conditionalFormatting sqref="BD13">
    <cfRule type="cellIs" dxfId="372" priority="583" stopIfTrue="1" operator="equal">
      <formula>"S"</formula>
    </cfRule>
    <cfRule type="cellIs" dxfId="371" priority="584" stopIfTrue="1" operator="equal">
      <formula>"D"</formula>
    </cfRule>
  </conditionalFormatting>
  <conditionalFormatting sqref="BD14">
    <cfRule type="cellIs" dxfId="370" priority="581" stopIfTrue="1" operator="equal">
      <formula>"S"</formula>
    </cfRule>
    <cfRule type="cellIs" dxfId="369" priority="582" stopIfTrue="1" operator="equal">
      <formula>"D"</formula>
    </cfRule>
  </conditionalFormatting>
  <conditionalFormatting sqref="BD14">
    <cfRule type="cellIs" dxfId="368" priority="579" stopIfTrue="1" operator="equal">
      <formula>"S"</formula>
    </cfRule>
    <cfRule type="cellIs" dxfId="367" priority="580" stopIfTrue="1" operator="equal">
      <formula>"D"</formula>
    </cfRule>
  </conditionalFormatting>
  <conditionalFormatting sqref="BC27:BD27">
    <cfRule type="cellIs" dxfId="366" priority="575" stopIfTrue="1" operator="equal">
      <formula>"S"</formula>
    </cfRule>
    <cfRule type="cellIs" dxfId="365" priority="576" stopIfTrue="1" operator="equal">
      <formula>"D"</formula>
    </cfRule>
  </conditionalFormatting>
  <conditionalFormatting sqref="BC27:BD27">
    <cfRule type="cellIs" dxfId="364" priority="573" stopIfTrue="1" operator="equal">
      <formula>"S"</formula>
    </cfRule>
    <cfRule type="cellIs" dxfId="363" priority="574" stopIfTrue="1" operator="equal">
      <formula>"D"</formula>
    </cfRule>
  </conditionalFormatting>
  <conditionalFormatting sqref="BC27:BD27">
    <cfRule type="cellIs" dxfId="362" priority="571" stopIfTrue="1" operator="equal">
      <formula>"S"</formula>
    </cfRule>
    <cfRule type="cellIs" dxfId="361" priority="572" stopIfTrue="1" operator="equal">
      <formula>"D"</formula>
    </cfRule>
  </conditionalFormatting>
  <conditionalFormatting sqref="BC27:BD27">
    <cfRule type="cellIs" dxfId="360" priority="569" stopIfTrue="1" operator="equal">
      <formula>"S"</formula>
    </cfRule>
    <cfRule type="cellIs" dxfId="359" priority="570" stopIfTrue="1" operator="equal">
      <formula>"D"</formula>
    </cfRule>
  </conditionalFormatting>
  <conditionalFormatting sqref="BC27:BD27">
    <cfRule type="cellIs" dxfId="358" priority="577" stopIfTrue="1" operator="equal">
      <formula>"S"</formula>
    </cfRule>
    <cfRule type="cellIs" dxfId="357" priority="578" stopIfTrue="1" operator="equal">
      <formula>"D"</formula>
    </cfRule>
  </conditionalFormatting>
  <conditionalFormatting sqref="BJ32:BN33 BJ37:BN37 BL36:BN36 BJ31 BN31 BM29 BM34:BN34 BN35">
    <cfRule type="cellIs" dxfId="356" priority="567" stopIfTrue="1" operator="equal">
      <formula>"S"</formula>
    </cfRule>
    <cfRule type="cellIs" dxfId="355" priority="568" stopIfTrue="1" operator="equal">
      <formula>"D"</formula>
    </cfRule>
  </conditionalFormatting>
  <conditionalFormatting sqref="BJ30">
    <cfRule type="cellIs" dxfId="354" priority="565" stopIfTrue="1" operator="equal">
      <formula>"S"</formula>
    </cfRule>
    <cfRule type="cellIs" dxfId="353" priority="566" stopIfTrue="1" operator="equal">
      <formula>"D"</formula>
    </cfRule>
  </conditionalFormatting>
  <conditionalFormatting sqref="BJ30">
    <cfRule type="cellIs" dxfId="352" priority="563" stopIfTrue="1" operator="equal">
      <formula>"S"</formula>
    </cfRule>
    <cfRule type="cellIs" dxfId="351" priority="564" stopIfTrue="1" operator="equal">
      <formula>"D"</formula>
    </cfRule>
  </conditionalFormatting>
  <conditionalFormatting sqref="BL29">
    <cfRule type="cellIs" dxfId="350" priority="561" stopIfTrue="1" operator="equal">
      <formula>"S"</formula>
    </cfRule>
    <cfRule type="cellIs" dxfId="349" priority="562" stopIfTrue="1" operator="equal">
      <formula>"D"</formula>
    </cfRule>
  </conditionalFormatting>
  <conditionalFormatting sqref="BL30">
    <cfRule type="cellIs" dxfId="348" priority="557" stopIfTrue="1" operator="equal">
      <formula>"S"</formula>
    </cfRule>
    <cfRule type="cellIs" dxfId="347" priority="558" stopIfTrue="1" operator="equal">
      <formula>"D"</formula>
    </cfRule>
  </conditionalFormatting>
  <conditionalFormatting sqref="BK35">
    <cfRule type="cellIs" dxfId="346" priority="551" stopIfTrue="1" operator="equal">
      <formula>"S"</formula>
    </cfRule>
    <cfRule type="cellIs" dxfId="345" priority="552" stopIfTrue="1" operator="equal">
      <formula>"D"</formula>
    </cfRule>
  </conditionalFormatting>
  <conditionalFormatting sqref="BK35">
    <cfRule type="cellIs" dxfId="344" priority="549" stopIfTrue="1" operator="equal">
      <formula>"S"</formula>
    </cfRule>
    <cfRule type="cellIs" dxfId="343" priority="550" stopIfTrue="1" operator="equal">
      <formula>"D"</formula>
    </cfRule>
  </conditionalFormatting>
  <conditionalFormatting sqref="BK34">
    <cfRule type="cellIs" dxfId="342" priority="547" stopIfTrue="1" operator="equal">
      <formula>"S"</formula>
    </cfRule>
    <cfRule type="cellIs" dxfId="341" priority="548" stopIfTrue="1" operator="equal">
      <formula>"D"</formula>
    </cfRule>
  </conditionalFormatting>
  <conditionalFormatting sqref="BJ36">
    <cfRule type="cellIs" dxfId="340" priority="545" stopIfTrue="1" operator="equal">
      <formula>"S"</formula>
    </cfRule>
    <cfRule type="cellIs" dxfId="339" priority="546" stopIfTrue="1" operator="equal">
      <formula>"D"</formula>
    </cfRule>
  </conditionalFormatting>
  <conditionalFormatting sqref="BJ36">
    <cfRule type="cellIs" dxfId="338" priority="543" stopIfTrue="1" operator="equal">
      <formula>"S"</formula>
    </cfRule>
    <cfRule type="cellIs" dxfId="337" priority="544" stopIfTrue="1" operator="equal">
      <formula>"D"</formula>
    </cfRule>
  </conditionalFormatting>
  <conditionalFormatting sqref="BK36">
    <cfRule type="cellIs" dxfId="336" priority="541" stopIfTrue="1" operator="equal">
      <formula>"S"</formula>
    </cfRule>
    <cfRule type="cellIs" dxfId="335" priority="542" stopIfTrue="1" operator="equal">
      <formula>"D"</formula>
    </cfRule>
  </conditionalFormatting>
  <conditionalFormatting sqref="BK36">
    <cfRule type="cellIs" dxfId="334" priority="539" stopIfTrue="1" operator="equal">
      <formula>"S"</formula>
    </cfRule>
    <cfRule type="cellIs" dxfId="333" priority="540" stopIfTrue="1" operator="equal">
      <formula>"D"</formula>
    </cfRule>
  </conditionalFormatting>
  <conditionalFormatting sqref="BM30">
    <cfRule type="cellIs" dxfId="332" priority="559" stopIfTrue="1" operator="equal">
      <formula>"S"</formula>
    </cfRule>
    <cfRule type="cellIs" dxfId="331" priority="560" stopIfTrue="1" operator="equal">
      <formula>"D"</formula>
    </cfRule>
  </conditionalFormatting>
  <conditionalFormatting sqref="BJ35">
    <cfRule type="cellIs" dxfId="330" priority="555" stopIfTrue="1" operator="equal">
      <formula>"S"</formula>
    </cfRule>
    <cfRule type="cellIs" dxfId="329" priority="556" stopIfTrue="1" operator="equal">
      <formula>"D"</formula>
    </cfRule>
  </conditionalFormatting>
  <conditionalFormatting sqref="BJ35">
    <cfRule type="cellIs" dxfId="328" priority="553" stopIfTrue="1" operator="equal">
      <formula>"S"</formula>
    </cfRule>
    <cfRule type="cellIs" dxfId="327" priority="554" stopIfTrue="1" operator="equal">
      <formula>"D"</formula>
    </cfRule>
  </conditionalFormatting>
  <conditionalFormatting sqref="BJ34">
    <cfRule type="cellIs" dxfId="326" priority="537" stopIfTrue="1" operator="equal">
      <formula>"S"</formula>
    </cfRule>
    <cfRule type="cellIs" dxfId="325" priority="538" stopIfTrue="1" operator="equal">
      <formula>"D"</formula>
    </cfRule>
  </conditionalFormatting>
  <conditionalFormatting sqref="BK31:BL31">
    <cfRule type="cellIs" dxfId="324" priority="535" stopIfTrue="1" operator="equal">
      <formula>"S"</formula>
    </cfRule>
    <cfRule type="cellIs" dxfId="323" priority="536" stopIfTrue="1" operator="equal">
      <formula>"D"</formula>
    </cfRule>
  </conditionalFormatting>
  <conditionalFormatting sqref="BJ29">
    <cfRule type="cellIs" dxfId="322" priority="533" stopIfTrue="1" operator="equal">
      <formula>"S"</formula>
    </cfRule>
    <cfRule type="cellIs" dxfId="321" priority="534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20" priority="531" stopIfTrue="1" operator="equal">
      <formula>"S"</formula>
    </cfRule>
    <cfRule type="cellIs" dxfId="319" priority="532" stopIfTrue="1" operator="equal">
      <formula>"D"</formula>
    </cfRule>
  </conditionalFormatting>
  <conditionalFormatting sqref="BK29">
    <cfRule type="cellIs" dxfId="318" priority="529" stopIfTrue="1" operator="equal">
      <formula>"S"</formula>
    </cfRule>
    <cfRule type="cellIs" dxfId="317" priority="530" stopIfTrue="1" operator="equal">
      <formula>"D"</formula>
    </cfRule>
  </conditionalFormatting>
  <conditionalFormatting sqref="BK29">
    <cfRule type="cellIs" dxfId="316" priority="527" stopIfTrue="1" operator="equal">
      <formula>"S"</formula>
    </cfRule>
    <cfRule type="cellIs" dxfId="315" priority="528" stopIfTrue="1" operator="equal">
      <formula>"D"</formula>
    </cfRule>
  </conditionalFormatting>
  <conditionalFormatting sqref="BK30">
    <cfRule type="cellIs" dxfId="314" priority="525" stopIfTrue="1" operator="equal">
      <formula>"S"</formula>
    </cfRule>
    <cfRule type="cellIs" dxfId="313" priority="526" stopIfTrue="1" operator="equal">
      <formula>"D"</formula>
    </cfRule>
  </conditionalFormatting>
  <conditionalFormatting sqref="BK30">
    <cfRule type="cellIs" dxfId="312" priority="523" stopIfTrue="1" operator="equal">
      <formula>"S"</formula>
    </cfRule>
    <cfRule type="cellIs" dxfId="311" priority="524" stopIfTrue="1" operator="equal">
      <formula>"D"</formula>
    </cfRule>
  </conditionalFormatting>
  <conditionalFormatting sqref="BL15">
    <cfRule type="cellIs" dxfId="310" priority="521" stopIfTrue="1" operator="equal">
      <formula>"S"</formula>
    </cfRule>
    <cfRule type="cellIs" dxfId="309" priority="522" stopIfTrue="1" operator="equal">
      <formula>"D"</formula>
    </cfRule>
  </conditionalFormatting>
  <conditionalFormatting sqref="BJ21">
    <cfRule type="cellIs" dxfId="308" priority="517" stopIfTrue="1" operator="equal">
      <formula>"S"</formula>
    </cfRule>
    <cfRule type="cellIs" dxfId="307" priority="518" stopIfTrue="1" operator="equal">
      <formula>"D"</formula>
    </cfRule>
  </conditionalFormatting>
  <conditionalFormatting sqref="BN29">
    <cfRule type="cellIs" dxfId="306" priority="515" stopIfTrue="1" operator="equal">
      <formula>"S"</formula>
    </cfRule>
    <cfRule type="cellIs" dxfId="305" priority="516" stopIfTrue="1" operator="equal">
      <formula>"D"</formula>
    </cfRule>
  </conditionalFormatting>
  <conditionalFormatting sqref="BN29">
    <cfRule type="cellIs" dxfId="304" priority="513" stopIfTrue="1" operator="equal">
      <formula>"S"</formula>
    </cfRule>
    <cfRule type="cellIs" dxfId="303" priority="514" stopIfTrue="1" operator="equal">
      <formula>"D"</formula>
    </cfRule>
  </conditionalFormatting>
  <conditionalFormatting sqref="BN30">
    <cfRule type="cellIs" dxfId="302" priority="511" stopIfTrue="1" operator="equal">
      <formula>"S"</formula>
    </cfRule>
    <cfRule type="cellIs" dxfId="301" priority="512" stopIfTrue="1" operator="equal">
      <formula>"D"</formula>
    </cfRule>
  </conditionalFormatting>
  <conditionalFormatting sqref="BN30">
    <cfRule type="cellIs" dxfId="300" priority="509" stopIfTrue="1" operator="equal">
      <formula>"S"</formula>
    </cfRule>
    <cfRule type="cellIs" dxfId="299" priority="510" stopIfTrue="1" operator="equal">
      <formula>"D"</formula>
    </cfRule>
  </conditionalFormatting>
  <conditionalFormatting sqref="BL13">
    <cfRule type="cellIs" dxfId="298" priority="507" stopIfTrue="1" operator="equal">
      <formula>"S"</formula>
    </cfRule>
    <cfRule type="cellIs" dxfId="297" priority="508" stopIfTrue="1" operator="equal">
      <formula>"D"</formula>
    </cfRule>
  </conditionalFormatting>
  <conditionalFormatting sqref="BL13">
    <cfRule type="cellIs" dxfId="296" priority="505" stopIfTrue="1" operator="equal">
      <formula>"S"</formula>
    </cfRule>
    <cfRule type="cellIs" dxfId="295" priority="506" stopIfTrue="1" operator="equal">
      <formula>"D"</formula>
    </cfRule>
  </conditionalFormatting>
  <conditionalFormatting sqref="BL14">
    <cfRule type="cellIs" dxfId="294" priority="503" stopIfTrue="1" operator="equal">
      <formula>"S"</formula>
    </cfRule>
    <cfRule type="cellIs" dxfId="293" priority="504" stopIfTrue="1" operator="equal">
      <formula>"D"</formula>
    </cfRule>
  </conditionalFormatting>
  <conditionalFormatting sqref="BL14">
    <cfRule type="cellIs" dxfId="292" priority="501" stopIfTrue="1" operator="equal">
      <formula>"S"</formula>
    </cfRule>
    <cfRule type="cellIs" dxfId="291" priority="502" stopIfTrue="1" operator="equal">
      <formula>"D"</formula>
    </cfRule>
  </conditionalFormatting>
  <conditionalFormatting sqref="BK27:BL27">
    <cfRule type="cellIs" dxfId="290" priority="497" stopIfTrue="1" operator="equal">
      <formula>"S"</formula>
    </cfRule>
    <cfRule type="cellIs" dxfId="289" priority="498" stopIfTrue="1" operator="equal">
      <formula>"D"</formula>
    </cfRule>
  </conditionalFormatting>
  <conditionalFormatting sqref="BK27:BL27">
    <cfRule type="cellIs" dxfId="288" priority="495" stopIfTrue="1" operator="equal">
      <formula>"S"</formula>
    </cfRule>
    <cfRule type="cellIs" dxfId="287" priority="496" stopIfTrue="1" operator="equal">
      <formula>"D"</formula>
    </cfRule>
  </conditionalFormatting>
  <conditionalFormatting sqref="BK27:BL27">
    <cfRule type="cellIs" dxfId="286" priority="493" stopIfTrue="1" operator="equal">
      <formula>"S"</formula>
    </cfRule>
    <cfRule type="cellIs" dxfId="285" priority="494" stopIfTrue="1" operator="equal">
      <formula>"D"</formula>
    </cfRule>
  </conditionalFormatting>
  <conditionalFormatting sqref="BK27:BL27">
    <cfRule type="cellIs" dxfId="284" priority="491" stopIfTrue="1" operator="equal">
      <formula>"S"</formula>
    </cfRule>
    <cfRule type="cellIs" dxfId="283" priority="492" stopIfTrue="1" operator="equal">
      <formula>"D"</formula>
    </cfRule>
  </conditionalFormatting>
  <conditionalFormatting sqref="BK27:BL27">
    <cfRule type="cellIs" dxfId="282" priority="499" stopIfTrue="1" operator="equal">
      <formula>"S"</formula>
    </cfRule>
    <cfRule type="cellIs" dxfId="281" priority="500" stopIfTrue="1" operator="equal">
      <formula>"D"</formula>
    </cfRule>
  </conditionalFormatting>
  <conditionalFormatting sqref="BR32:BV33 BR37:BV37 BT36:BV36 BR31 BV31 BU29 BU34:BV34 BV35">
    <cfRule type="cellIs" dxfId="280" priority="489" stopIfTrue="1" operator="equal">
      <formula>"S"</formula>
    </cfRule>
    <cfRule type="cellIs" dxfId="279" priority="490" stopIfTrue="1" operator="equal">
      <formula>"D"</formula>
    </cfRule>
  </conditionalFormatting>
  <conditionalFormatting sqref="BR30">
    <cfRule type="cellIs" dxfId="278" priority="487" stopIfTrue="1" operator="equal">
      <formula>"S"</formula>
    </cfRule>
    <cfRule type="cellIs" dxfId="277" priority="488" stopIfTrue="1" operator="equal">
      <formula>"D"</formula>
    </cfRule>
  </conditionalFormatting>
  <conditionalFormatting sqref="BR30">
    <cfRule type="cellIs" dxfId="276" priority="485" stopIfTrue="1" operator="equal">
      <formula>"S"</formula>
    </cfRule>
    <cfRule type="cellIs" dxfId="275" priority="486" stopIfTrue="1" operator="equal">
      <formula>"D"</formula>
    </cfRule>
  </conditionalFormatting>
  <conditionalFormatting sqref="BT29">
    <cfRule type="cellIs" dxfId="274" priority="483" stopIfTrue="1" operator="equal">
      <formula>"S"</formula>
    </cfRule>
    <cfRule type="cellIs" dxfId="273" priority="484" stopIfTrue="1" operator="equal">
      <formula>"D"</formula>
    </cfRule>
  </conditionalFormatting>
  <conditionalFormatting sqref="BT30">
    <cfRule type="cellIs" dxfId="272" priority="479" stopIfTrue="1" operator="equal">
      <formula>"S"</formula>
    </cfRule>
    <cfRule type="cellIs" dxfId="271" priority="480" stopIfTrue="1" operator="equal">
      <formula>"D"</formula>
    </cfRule>
  </conditionalFormatting>
  <conditionalFormatting sqref="BS35">
    <cfRule type="cellIs" dxfId="270" priority="473" stopIfTrue="1" operator="equal">
      <formula>"S"</formula>
    </cfRule>
    <cfRule type="cellIs" dxfId="269" priority="474" stopIfTrue="1" operator="equal">
      <formula>"D"</formula>
    </cfRule>
  </conditionalFormatting>
  <conditionalFormatting sqref="BS35">
    <cfRule type="cellIs" dxfId="268" priority="471" stopIfTrue="1" operator="equal">
      <formula>"S"</formula>
    </cfRule>
    <cfRule type="cellIs" dxfId="267" priority="472" stopIfTrue="1" operator="equal">
      <formula>"D"</formula>
    </cfRule>
  </conditionalFormatting>
  <conditionalFormatting sqref="BS34">
    <cfRule type="cellIs" dxfId="266" priority="469" stopIfTrue="1" operator="equal">
      <formula>"S"</formula>
    </cfRule>
    <cfRule type="cellIs" dxfId="265" priority="470" stopIfTrue="1" operator="equal">
      <formula>"D"</formula>
    </cfRule>
  </conditionalFormatting>
  <conditionalFormatting sqref="BR36">
    <cfRule type="cellIs" dxfId="264" priority="467" stopIfTrue="1" operator="equal">
      <formula>"S"</formula>
    </cfRule>
    <cfRule type="cellIs" dxfId="263" priority="468" stopIfTrue="1" operator="equal">
      <formula>"D"</formula>
    </cfRule>
  </conditionalFormatting>
  <conditionalFormatting sqref="BR36">
    <cfRule type="cellIs" dxfId="262" priority="465" stopIfTrue="1" operator="equal">
      <formula>"S"</formula>
    </cfRule>
    <cfRule type="cellIs" dxfId="261" priority="466" stopIfTrue="1" operator="equal">
      <formula>"D"</formula>
    </cfRule>
  </conditionalFormatting>
  <conditionalFormatting sqref="BS36">
    <cfRule type="cellIs" dxfId="260" priority="463" stopIfTrue="1" operator="equal">
      <formula>"S"</formula>
    </cfRule>
    <cfRule type="cellIs" dxfId="259" priority="464" stopIfTrue="1" operator="equal">
      <formula>"D"</formula>
    </cfRule>
  </conditionalFormatting>
  <conditionalFormatting sqref="BS36">
    <cfRule type="cellIs" dxfId="258" priority="461" stopIfTrue="1" operator="equal">
      <formula>"S"</formula>
    </cfRule>
    <cfRule type="cellIs" dxfId="257" priority="462" stopIfTrue="1" operator="equal">
      <formula>"D"</formula>
    </cfRule>
  </conditionalFormatting>
  <conditionalFormatting sqref="BU30">
    <cfRule type="cellIs" dxfId="256" priority="481" stopIfTrue="1" operator="equal">
      <formula>"S"</formula>
    </cfRule>
    <cfRule type="cellIs" dxfId="255" priority="482" stopIfTrue="1" operator="equal">
      <formula>"D"</formula>
    </cfRule>
  </conditionalFormatting>
  <conditionalFormatting sqref="BR35">
    <cfRule type="cellIs" dxfId="254" priority="477" stopIfTrue="1" operator="equal">
      <formula>"S"</formula>
    </cfRule>
    <cfRule type="cellIs" dxfId="253" priority="478" stopIfTrue="1" operator="equal">
      <formula>"D"</formula>
    </cfRule>
  </conditionalFormatting>
  <conditionalFormatting sqref="BR35">
    <cfRule type="cellIs" dxfId="252" priority="475" stopIfTrue="1" operator="equal">
      <formula>"S"</formula>
    </cfRule>
    <cfRule type="cellIs" dxfId="251" priority="476" stopIfTrue="1" operator="equal">
      <formula>"D"</formula>
    </cfRule>
  </conditionalFormatting>
  <conditionalFormatting sqref="BR34">
    <cfRule type="cellIs" dxfId="250" priority="459" stopIfTrue="1" operator="equal">
      <formula>"S"</formula>
    </cfRule>
    <cfRule type="cellIs" dxfId="249" priority="460" stopIfTrue="1" operator="equal">
      <formula>"D"</formula>
    </cfRule>
  </conditionalFormatting>
  <conditionalFormatting sqref="BS31:BT31">
    <cfRule type="cellIs" dxfId="248" priority="457" stopIfTrue="1" operator="equal">
      <formula>"S"</formula>
    </cfRule>
    <cfRule type="cellIs" dxfId="247" priority="458" stopIfTrue="1" operator="equal">
      <formula>"D"</formula>
    </cfRule>
  </conditionalFormatting>
  <conditionalFormatting sqref="BR29">
    <cfRule type="cellIs" dxfId="246" priority="455" stopIfTrue="1" operator="equal">
      <formula>"S"</formula>
    </cfRule>
    <cfRule type="cellIs" dxfId="245" priority="456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244" priority="453" stopIfTrue="1" operator="equal">
      <formula>"S"</formula>
    </cfRule>
    <cfRule type="cellIs" dxfId="243" priority="454" stopIfTrue="1" operator="equal">
      <formula>"D"</formula>
    </cfRule>
  </conditionalFormatting>
  <conditionalFormatting sqref="BS29">
    <cfRule type="cellIs" dxfId="242" priority="451" stopIfTrue="1" operator="equal">
      <formula>"S"</formula>
    </cfRule>
    <cfRule type="cellIs" dxfId="241" priority="452" stopIfTrue="1" operator="equal">
      <formula>"D"</formula>
    </cfRule>
  </conditionalFormatting>
  <conditionalFormatting sqref="BS29">
    <cfRule type="cellIs" dxfId="240" priority="449" stopIfTrue="1" operator="equal">
      <formula>"S"</formula>
    </cfRule>
    <cfRule type="cellIs" dxfId="239" priority="450" stopIfTrue="1" operator="equal">
      <formula>"D"</formula>
    </cfRule>
  </conditionalFormatting>
  <conditionalFormatting sqref="BS30">
    <cfRule type="cellIs" dxfId="238" priority="447" stopIfTrue="1" operator="equal">
      <formula>"S"</formula>
    </cfRule>
    <cfRule type="cellIs" dxfId="237" priority="448" stopIfTrue="1" operator="equal">
      <formula>"D"</formula>
    </cfRule>
  </conditionalFormatting>
  <conditionalFormatting sqref="BS30">
    <cfRule type="cellIs" dxfId="236" priority="445" stopIfTrue="1" operator="equal">
      <formula>"S"</formula>
    </cfRule>
    <cfRule type="cellIs" dxfId="235" priority="446" stopIfTrue="1" operator="equal">
      <formula>"D"</formula>
    </cfRule>
  </conditionalFormatting>
  <conditionalFormatting sqref="BT15">
    <cfRule type="cellIs" dxfId="234" priority="443" stopIfTrue="1" operator="equal">
      <formula>"S"</formula>
    </cfRule>
    <cfRule type="cellIs" dxfId="233" priority="444" stopIfTrue="1" operator="equal">
      <formula>"D"</formula>
    </cfRule>
  </conditionalFormatting>
  <conditionalFormatting sqref="BT21">
    <cfRule type="cellIs" dxfId="232" priority="441" stopIfTrue="1" operator="equal">
      <formula>"S"</formula>
    </cfRule>
    <cfRule type="cellIs" dxfId="231" priority="442" stopIfTrue="1" operator="equal">
      <formula>"D"</formula>
    </cfRule>
  </conditionalFormatting>
  <conditionalFormatting sqref="BR21">
    <cfRule type="cellIs" dxfId="230" priority="439" stopIfTrue="1" operator="equal">
      <formula>"S"</formula>
    </cfRule>
    <cfRule type="cellIs" dxfId="229" priority="440" stopIfTrue="1" operator="equal">
      <formula>"D"</formula>
    </cfRule>
  </conditionalFormatting>
  <conditionalFormatting sqref="BV29">
    <cfRule type="cellIs" dxfId="228" priority="437" stopIfTrue="1" operator="equal">
      <formula>"S"</formula>
    </cfRule>
    <cfRule type="cellIs" dxfId="227" priority="438" stopIfTrue="1" operator="equal">
      <formula>"D"</formula>
    </cfRule>
  </conditionalFormatting>
  <conditionalFormatting sqref="BV29">
    <cfRule type="cellIs" dxfId="226" priority="435" stopIfTrue="1" operator="equal">
      <formula>"S"</formula>
    </cfRule>
    <cfRule type="cellIs" dxfId="225" priority="436" stopIfTrue="1" operator="equal">
      <formula>"D"</formula>
    </cfRule>
  </conditionalFormatting>
  <conditionalFormatting sqref="BV30">
    <cfRule type="cellIs" dxfId="224" priority="433" stopIfTrue="1" operator="equal">
      <formula>"S"</formula>
    </cfRule>
    <cfRule type="cellIs" dxfId="223" priority="434" stopIfTrue="1" operator="equal">
      <formula>"D"</formula>
    </cfRule>
  </conditionalFormatting>
  <conditionalFormatting sqref="BV30">
    <cfRule type="cellIs" dxfId="222" priority="431" stopIfTrue="1" operator="equal">
      <formula>"S"</formula>
    </cfRule>
    <cfRule type="cellIs" dxfId="221" priority="432" stopIfTrue="1" operator="equal">
      <formula>"D"</formula>
    </cfRule>
  </conditionalFormatting>
  <conditionalFormatting sqref="BT13">
    <cfRule type="cellIs" dxfId="220" priority="429" stopIfTrue="1" operator="equal">
      <formula>"S"</formula>
    </cfRule>
    <cfRule type="cellIs" dxfId="219" priority="430" stopIfTrue="1" operator="equal">
      <formula>"D"</formula>
    </cfRule>
  </conditionalFormatting>
  <conditionalFormatting sqref="BT13">
    <cfRule type="cellIs" dxfId="218" priority="427" stopIfTrue="1" operator="equal">
      <formula>"S"</formula>
    </cfRule>
    <cfRule type="cellIs" dxfId="217" priority="428" stopIfTrue="1" operator="equal">
      <formula>"D"</formula>
    </cfRule>
  </conditionalFormatting>
  <conditionalFormatting sqref="BT14">
    <cfRule type="cellIs" dxfId="216" priority="425" stopIfTrue="1" operator="equal">
      <formula>"S"</formula>
    </cfRule>
    <cfRule type="cellIs" dxfId="215" priority="426" stopIfTrue="1" operator="equal">
      <formula>"D"</formula>
    </cfRule>
  </conditionalFormatting>
  <conditionalFormatting sqref="BT14">
    <cfRule type="cellIs" dxfId="214" priority="423" stopIfTrue="1" operator="equal">
      <formula>"S"</formula>
    </cfRule>
    <cfRule type="cellIs" dxfId="213" priority="424" stopIfTrue="1" operator="equal">
      <formula>"D"</formula>
    </cfRule>
  </conditionalFormatting>
  <conditionalFormatting sqref="BS27:BT27">
    <cfRule type="cellIs" dxfId="212" priority="419" stopIfTrue="1" operator="equal">
      <formula>"S"</formula>
    </cfRule>
    <cfRule type="cellIs" dxfId="211" priority="420" stopIfTrue="1" operator="equal">
      <formula>"D"</formula>
    </cfRule>
  </conditionalFormatting>
  <conditionalFormatting sqref="BS27:BT27">
    <cfRule type="cellIs" dxfId="210" priority="417" stopIfTrue="1" operator="equal">
      <formula>"S"</formula>
    </cfRule>
    <cfRule type="cellIs" dxfId="209" priority="418" stopIfTrue="1" operator="equal">
      <formula>"D"</formula>
    </cfRule>
  </conditionalFormatting>
  <conditionalFormatting sqref="BS27:BT27">
    <cfRule type="cellIs" dxfId="208" priority="415" stopIfTrue="1" operator="equal">
      <formula>"S"</formula>
    </cfRule>
    <cfRule type="cellIs" dxfId="207" priority="416" stopIfTrue="1" operator="equal">
      <formula>"D"</formula>
    </cfRule>
  </conditionalFormatting>
  <conditionalFormatting sqref="BS27:BT27">
    <cfRule type="cellIs" dxfId="206" priority="413" stopIfTrue="1" operator="equal">
      <formula>"S"</formula>
    </cfRule>
    <cfRule type="cellIs" dxfId="205" priority="414" stopIfTrue="1" operator="equal">
      <formula>"D"</formula>
    </cfRule>
  </conditionalFormatting>
  <conditionalFormatting sqref="BS27:BT27">
    <cfRule type="cellIs" dxfId="204" priority="421" stopIfTrue="1" operator="equal">
      <formula>"S"</formula>
    </cfRule>
    <cfRule type="cellIs" dxfId="203" priority="422" stopIfTrue="1" operator="equal">
      <formula>"D"</formula>
    </cfRule>
  </conditionalFormatting>
  <conditionalFormatting sqref="BZ32:CD33 BZ37:CD37 CB36:CD36 BZ31 CD31 CC29 CC34:CD34 CD35">
    <cfRule type="cellIs" dxfId="202" priority="411" stopIfTrue="1" operator="equal">
      <formula>"S"</formula>
    </cfRule>
    <cfRule type="cellIs" dxfId="201" priority="412" stopIfTrue="1" operator="equal">
      <formula>"D"</formula>
    </cfRule>
  </conditionalFormatting>
  <conditionalFormatting sqref="BZ30">
    <cfRule type="cellIs" dxfId="200" priority="409" stopIfTrue="1" operator="equal">
      <formula>"S"</formula>
    </cfRule>
    <cfRule type="cellIs" dxfId="199" priority="410" stopIfTrue="1" operator="equal">
      <formula>"D"</formula>
    </cfRule>
  </conditionalFormatting>
  <conditionalFormatting sqref="BZ30">
    <cfRule type="cellIs" dxfId="198" priority="407" stopIfTrue="1" operator="equal">
      <formula>"S"</formula>
    </cfRule>
    <cfRule type="cellIs" dxfId="197" priority="408" stopIfTrue="1" operator="equal">
      <formula>"D"</formula>
    </cfRule>
  </conditionalFormatting>
  <conditionalFormatting sqref="CB29">
    <cfRule type="cellIs" dxfId="196" priority="405" stopIfTrue="1" operator="equal">
      <formula>"S"</formula>
    </cfRule>
    <cfRule type="cellIs" dxfId="195" priority="406" stopIfTrue="1" operator="equal">
      <formula>"D"</formula>
    </cfRule>
  </conditionalFormatting>
  <conditionalFormatting sqref="CB30">
    <cfRule type="cellIs" dxfId="194" priority="401" stopIfTrue="1" operator="equal">
      <formula>"S"</formula>
    </cfRule>
    <cfRule type="cellIs" dxfId="193" priority="402" stopIfTrue="1" operator="equal">
      <formula>"D"</formula>
    </cfRule>
  </conditionalFormatting>
  <conditionalFormatting sqref="CA35">
    <cfRule type="cellIs" dxfId="192" priority="395" stopIfTrue="1" operator="equal">
      <formula>"S"</formula>
    </cfRule>
    <cfRule type="cellIs" dxfId="191" priority="396" stopIfTrue="1" operator="equal">
      <formula>"D"</formula>
    </cfRule>
  </conditionalFormatting>
  <conditionalFormatting sqref="CA35">
    <cfRule type="cellIs" dxfId="190" priority="393" stopIfTrue="1" operator="equal">
      <formula>"S"</formula>
    </cfRule>
    <cfRule type="cellIs" dxfId="189" priority="394" stopIfTrue="1" operator="equal">
      <formula>"D"</formula>
    </cfRule>
  </conditionalFormatting>
  <conditionalFormatting sqref="CA34">
    <cfRule type="cellIs" dxfId="188" priority="391" stopIfTrue="1" operator="equal">
      <formula>"S"</formula>
    </cfRule>
    <cfRule type="cellIs" dxfId="187" priority="392" stopIfTrue="1" operator="equal">
      <formula>"D"</formula>
    </cfRule>
  </conditionalFormatting>
  <conditionalFormatting sqref="BZ36">
    <cfRule type="cellIs" dxfId="186" priority="389" stopIfTrue="1" operator="equal">
      <formula>"S"</formula>
    </cfRule>
    <cfRule type="cellIs" dxfId="185" priority="390" stopIfTrue="1" operator="equal">
      <formula>"D"</formula>
    </cfRule>
  </conditionalFormatting>
  <conditionalFormatting sqref="BZ36">
    <cfRule type="cellIs" dxfId="184" priority="387" stopIfTrue="1" operator="equal">
      <formula>"S"</formula>
    </cfRule>
    <cfRule type="cellIs" dxfId="183" priority="388" stopIfTrue="1" operator="equal">
      <formula>"D"</formula>
    </cfRule>
  </conditionalFormatting>
  <conditionalFormatting sqref="CA36">
    <cfRule type="cellIs" dxfId="182" priority="385" stopIfTrue="1" operator="equal">
      <formula>"S"</formula>
    </cfRule>
    <cfRule type="cellIs" dxfId="181" priority="386" stopIfTrue="1" operator="equal">
      <formula>"D"</formula>
    </cfRule>
  </conditionalFormatting>
  <conditionalFormatting sqref="CA36">
    <cfRule type="cellIs" dxfId="180" priority="383" stopIfTrue="1" operator="equal">
      <formula>"S"</formula>
    </cfRule>
    <cfRule type="cellIs" dxfId="179" priority="384" stopIfTrue="1" operator="equal">
      <formula>"D"</formula>
    </cfRule>
  </conditionalFormatting>
  <conditionalFormatting sqref="CC30">
    <cfRule type="cellIs" dxfId="178" priority="403" stopIfTrue="1" operator="equal">
      <formula>"S"</formula>
    </cfRule>
    <cfRule type="cellIs" dxfId="177" priority="404" stopIfTrue="1" operator="equal">
      <formula>"D"</formula>
    </cfRule>
  </conditionalFormatting>
  <conditionalFormatting sqref="BZ35">
    <cfRule type="cellIs" dxfId="176" priority="399" stopIfTrue="1" operator="equal">
      <formula>"S"</formula>
    </cfRule>
    <cfRule type="cellIs" dxfId="175" priority="400" stopIfTrue="1" operator="equal">
      <formula>"D"</formula>
    </cfRule>
  </conditionalFormatting>
  <conditionalFormatting sqref="BZ35">
    <cfRule type="cellIs" dxfId="174" priority="397" stopIfTrue="1" operator="equal">
      <formula>"S"</formula>
    </cfRule>
    <cfRule type="cellIs" dxfId="173" priority="398" stopIfTrue="1" operator="equal">
      <formula>"D"</formula>
    </cfRule>
  </conditionalFormatting>
  <conditionalFormatting sqref="BZ34">
    <cfRule type="cellIs" dxfId="172" priority="381" stopIfTrue="1" operator="equal">
      <formula>"S"</formula>
    </cfRule>
    <cfRule type="cellIs" dxfId="171" priority="382" stopIfTrue="1" operator="equal">
      <formula>"D"</formula>
    </cfRule>
  </conditionalFormatting>
  <conditionalFormatting sqref="CA31:CB31">
    <cfRule type="cellIs" dxfId="170" priority="379" stopIfTrue="1" operator="equal">
      <formula>"S"</formula>
    </cfRule>
    <cfRule type="cellIs" dxfId="169" priority="380" stopIfTrue="1" operator="equal">
      <formula>"D"</formula>
    </cfRule>
  </conditionalFormatting>
  <conditionalFormatting sqref="BZ29">
    <cfRule type="cellIs" dxfId="168" priority="377" stopIfTrue="1" operator="equal">
      <formula>"S"</formula>
    </cfRule>
    <cfRule type="cellIs" dxfId="167" priority="378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166" priority="375" stopIfTrue="1" operator="equal">
      <formula>"S"</formula>
    </cfRule>
    <cfRule type="cellIs" dxfId="165" priority="376" stopIfTrue="1" operator="equal">
      <formula>"D"</formula>
    </cfRule>
  </conditionalFormatting>
  <conditionalFormatting sqref="CA29">
    <cfRule type="cellIs" dxfId="164" priority="373" stopIfTrue="1" operator="equal">
      <formula>"S"</formula>
    </cfRule>
    <cfRule type="cellIs" dxfId="163" priority="374" stopIfTrue="1" operator="equal">
      <formula>"D"</formula>
    </cfRule>
  </conditionalFormatting>
  <conditionalFormatting sqref="CA29">
    <cfRule type="cellIs" dxfId="162" priority="371" stopIfTrue="1" operator="equal">
      <formula>"S"</formula>
    </cfRule>
    <cfRule type="cellIs" dxfId="161" priority="372" stopIfTrue="1" operator="equal">
      <formula>"D"</formula>
    </cfRule>
  </conditionalFormatting>
  <conditionalFormatting sqref="CA30">
    <cfRule type="cellIs" dxfId="160" priority="369" stopIfTrue="1" operator="equal">
      <formula>"S"</formula>
    </cfRule>
    <cfRule type="cellIs" dxfId="159" priority="370" stopIfTrue="1" operator="equal">
      <formula>"D"</formula>
    </cfRule>
  </conditionalFormatting>
  <conditionalFormatting sqref="CA30">
    <cfRule type="cellIs" dxfId="158" priority="367" stopIfTrue="1" operator="equal">
      <formula>"S"</formula>
    </cfRule>
    <cfRule type="cellIs" dxfId="157" priority="368" stopIfTrue="1" operator="equal">
      <formula>"D"</formula>
    </cfRule>
  </conditionalFormatting>
  <conditionalFormatting sqref="CB15">
    <cfRule type="cellIs" dxfId="156" priority="365" stopIfTrue="1" operator="equal">
      <formula>"S"</formula>
    </cfRule>
    <cfRule type="cellIs" dxfId="155" priority="366" stopIfTrue="1" operator="equal">
      <formula>"D"</formula>
    </cfRule>
  </conditionalFormatting>
  <conditionalFormatting sqref="CB21">
    <cfRule type="cellIs" dxfId="154" priority="363" stopIfTrue="1" operator="equal">
      <formula>"S"</formula>
    </cfRule>
    <cfRule type="cellIs" dxfId="153" priority="364" stopIfTrue="1" operator="equal">
      <formula>"D"</formula>
    </cfRule>
  </conditionalFormatting>
  <conditionalFormatting sqref="BZ21">
    <cfRule type="cellIs" dxfId="152" priority="361" stopIfTrue="1" operator="equal">
      <formula>"S"</formula>
    </cfRule>
    <cfRule type="cellIs" dxfId="151" priority="362" stopIfTrue="1" operator="equal">
      <formula>"D"</formula>
    </cfRule>
  </conditionalFormatting>
  <conditionalFormatting sqref="CD29">
    <cfRule type="cellIs" dxfId="150" priority="359" stopIfTrue="1" operator="equal">
      <formula>"S"</formula>
    </cfRule>
    <cfRule type="cellIs" dxfId="149" priority="360" stopIfTrue="1" operator="equal">
      <formula>"D"</formula>
    </cfRule>
  </conditionalFormatting>
  <conditionalFormatting sqref="CD29">
    <cfRule type="cellIs" dxfId="148" priority="357" stopIfTrue="1" operator="equal">
      <formula>"S"</formula>
    </cfRule>
    <cfRule type="cellIs" dxfId="147" priority="358" stopIfTrue="1" operator="equal">
      <formula>"D"</formula>
    </cfRule>
  </conditionalFormatting>
  <conditionalFormatting sqref="CD30">
    <cfRule type="cellIs" dxfId="146" priority="355" stopIfTrue="1" operator="equal">
      <formula>"S"</formula>
    </cfRule>
    <cfRule type="cellIs" dxfId="145" priority="356" stopIfTrue="1" operator="equal">
      <formula>"D"</formula>
    </cfRule>
  </conditionalFormatting>
  <conditionalFormatting sqref="CD30">
    <cfRule type="cellIs" dxfId="144" priority="353" stopIfTrue="1" operator="equal">
      <formula>"S"</formula>
    </cfRule>
    <cfRule type="cellIs" dxfId="143" priority="354" stopIfTrue="1" operator="equal">
      <formula>"D"</formula>
    </cfRule>
  </conditionalFormatting>
  <conditionalFormatting sqref="CB13">
    <cfRule type="cellIs" dxfId="142" priority="351" stopIfTrue="1" operator="equal">
      <formula>"S"</formula>
    </cfRule>
    <cfRule type="cellIs" dxfId="141" priority="352" stopIfTrue="1" operator="equal">
      <formula>"D"</formula>
    </cfRule>
  </conditionalFormatting>
  <conditionalFormatting sqref="CB13">
    <cfRule type="cellIs" dxfId="140" priority="349" stopIfTrue="1" operator="equal">
      <formula>"S"</formula>
    </cfRule>
    <cfRule type="cellIs" dxfId="139" priority="350" stopIfTrue="1" operator="equal">
      <formula>"D"</formula>
    </cfRule>
  </conditionalFormatting>
  <conditionalFormatting sqref="CB14">
    <cfRule type="cellIs" dxfId="138" priority="347" stopIfTrue="1" operator="equal">
      <formula>"S"</formula>
    </cfRule>
    <cfRule type="cellIs" dxfId="137" priority="348" stopIfTrue="1" operator="equal">
      <formula>"D"</formula>
    </cfRule>
  </conditionalFormatting>
  <conditionalFormatting sqref="CB14">
    <cfRule type="cellIs" dxfId="136" priority="345" stopIfTrue="1" operator="equal">
      <formula>"S"</formula>
    </cfRule>
    <cfRule type="cellIs" dxfId="135" priority="346" stopIfTrue="1" operator="equal">
      <formula>"D"</formula>
    </cfRule>
  </conditionalFormatting>
  <conditionalFormatting sqref="CA27:CB27">
    <cfRule type="cellIs" dxfId="134" priority="341" stopIfTrue="1" operator="equal">
      <formula>"S"</formula>
    </cfRule>
    <cfRule type="cellIs" dxfId="133" priority="342" stopIfTrue="1" operator="equal">
      <formula>"D"</formula>
    </cfRule>
  </conditionalFormatting>
  <conditionalFormatting sqref="CA27:CB27">
    <cfRule type="cellIs" dxfId="132" priority="339" stopIfTrue="1" operator="equal">
      <formula>"S"</formula>
    </cfRule>
    <cfRule type="cellIs" dxfId="131" priority="340" stopIfTrue="1" operator="equal">
      <formula>"D"</formula>
    </cfRule>
  </conditionalFormatting>
  <conditionalFormatting sqref="CA27:CB27">
    <cfRule type="cellIs" dxfId="130" priority="337" stopIfTrue="1" operator="equal">
      <formula>"S"</formula>
    </cfRule>
    <cfRule type="cellIs" dxfId="129" priority="338" stopIfTrue="1" operator="equal">
      <formula>"D"</formula>
    </cfRule>
  </conditionalFormatting>
  <conditionalFormatting sqref="CA27:CB27">
    <cfRule type="cellIs" dxfId="128" priority="335" stopIfTrue="1" operator="equal">
      <formula>"S"</formula>
    </cfRule>
    <cfRule type="cellIs" dxfId="127" priority="336" stopIfTrue="1" operator="equal">
      <formula>"D"</formula>
    </cfRule>
  </conditionalFormatting>
  <conditionalFormatting sqref="CA27:CB27">
    <cfRule type="cellIs" dxfId="126" priority="343" stopIfTrue="1" operator="equal">
      <formula>"S"</formula>
    </cfRule>
    <cfRule type="cellIs" dxfId="125" priority="344" stopIfTrue="1" operator="equal">
      <formula>"D"</formula>
    </cfRule>
  </conditionalFormatting>
  <conditionalFormatting sqref="CH32:CL33 CJ36:CL36 CH31 CL31 CK29 CK34:CL34 CL35 CH37:CL37">
    <cfRule type="cellIs" dxfId="124" priority="333" stopIfTrue="1" operator="equal">
      <formula>"S"</formula>
    </cfRule>
    <cfRule type="cellIs" dxfId="123" priority="334" stopIfTrue="1" operator="equal">
      <formula>"D"</formula>
    </cfRule>
  </conditionalFormatting>
  <conditionalFormatting sqref="CH30">
    <cfRule type="cellIs" dxfId="122" priority="331" stopIfTrue="1" operator="equal">
      <formula>"S"</formula>
    </cfRule>
    <cfRule type="cellIs" dxfId="121" priority="332" stopIfTrue="1" operator="equal">
      <formula>"D"</formula>
    </cfRule>
  </conditionalFormatting>
  <conditionalFormatting sqref="CH30">
    <cfRule type="cellIs" dxfId="120" priority="329" stopIfTrue="1" operator="equal">
      <formula>"S"</formula>
    </cfRule>
    <cfRule type="cellIs" dxfId="119" priority="330" stopIfTrue="1" operator="equal">
      <formula>"D"</formula>
    </cfRule>
  </conditionalFormatting>
  <conditionalFormatting sqref="CJ29">
    <cfRule type="cellIs" dxfId="118" priority="327" stopIfTrue="1" operator="equal">
      <formula>"S"</formula>
    </cfRule>
    <cfRule type="cellIs" dxfId="117" priority="328" stopIfTrue="1" operator="equal">
      <formula>"D"</formula>
    </cfRule>
  </conditionalFormatting>
  <conditionalFormatting sqref="CJ30">
    <cfRule type="cellIs" dxfId="116" priority="323" stopIfTrue="1" operator="equal">
      <formula>"S"</formula>
    </cfRule>
    <cfRule type="cellIs" dxfId="115" priority="324" stopIfTrue="1" operator="equal">
      <formula>"D"</formula>
    </cfRule>
  </conditionalFormatting>
  <conditionalFormatting sqref="CI35">
    <cfRule type="cellIs" dxfId="114" priority="317" stopIfTrue="1" operator="equal">
      <formula>"S"</formula>
    </cfRule>
    <cfRule type="cellIs" dxfId="113" priority="318" stopIfTrue="1" operator="equal">
      <formula>"D"</formula>
    </cfRule>
  </conditionalFormatting>
  <conditionalFormatting sqref="CI35">
    <cfRule type="cellIs" dxfId="112" priority="315" stopIfTrue="1" operator="equal">
      <formula>"S"</formula>
    </cfRule>
    <cfRule type="cellIs" dxfId="111" priority="316" stopIfTrue="1" operator="equal">
      <formula>"D"</formula>
    </cfRule>
  </conditionalFormatting>
  <conditionalFormatting sqref="CI34">
    <cfRule type="cellIs" dxfId="110" priority="313" stopIfTrue="1" operator="equal">
      <formula>"S"</formula>
    </cfRule>
    <cfRule type="cellIs" dxfId="109" priority="314" stopIfTrue="1" operator="equal">
      <formula>"D"</formula>
    </cfRule>
  </conditionalFormatting>
  <conditionalFormatting sqref="CH36">
    <cfRule type="cellIs" dxfId="108" priority="311" stopIfTrue="1" operator="equal">
      <formula>"S"</formula>
    </cfRule>
    <cfRule type="cellIs" dxfId="107" priority="312" stopIfTrue="1" operator="equal">
      <formula>"D"</formula>
    </cfRule>
  </conditionalFormatting>
  <conditionalFormatting sqref="CH36">
    <cfRule type="cellIs" dxfId="106" priority="309" stopIfTrue="1" operator="equal">
      <formula>"S"</formula>
    </cfRule>
    <cfRule type="cellIs" dxfId="105" priority="310" stopIfTrue="1" operator="equal">
      <formula>"D"</formula>
    </cfRule>
  </conditionalFormatting>
  <conditionalFormatting sqref="CI36">
    <cfRule type="cellIs" dxfId="104" priority="307" stopIfTrue="1" operator="equal">
      <formula>"S"</formula>
    </cfRule>
    <cfRule type="cellIs" dxfId="103" priority="308" stopIfTrue="1" operator="equal">
      <formula>"D"</formula>
    </cfRule>
  </conditionalFormatting>
  <conditionalFormatting sqref="CI36">
    <cfRule type="cellIs" dxfId="102" priority="305" stopIfTrue="1" operator="equal">
      <formula>"S"</formula>
    </cfRule>
    <cfRule type="cellIs" dxfId="101" priority="306" stopIfTrue="1" operator="equal">
      <formula>"D"</formula>
    </cfRule>
  </conditionalFormatting>
  <conditionalFormatting sqref="CK30">
    <cfRule type="cellIs" dxfId="100" priority="325" stopIfTrue="1" operator="equal">
      <formula>"S"</formula>
    </cfRule>
    <cfRule type="cellIs" dxfId="99" priority="326" stopIfTrue="1" operator="equal">
      <formula>"D"</formula>
    </cfRule>
  </conditionalFormatting>
  <conditionalFormatting sqref="CH35">
    <cfRule type="cellIs" dxfId="98" priority="321" stopIfTrue="1" operator="equal">
      <formula>"S"</formula>
    </cfRule>
    <cfRule type="cellIs" dxfId="97" priority="322" stopIfTrue="1" operator="equal">
      <formula>"D"</formula>
    </cfRule>
  </conditionalFormatting>
  <conditionalFormatting sqref="CH35">
    <cfRule type="cellIs" dxfId="96" priority="319" stopIfTrue="1" operator="equal">
      <formula>"S"</formula>
    </cfRule>
    <cfRule type="cellIs" dxfId="95" priority="320" stopIfTrue="1" operator="equal">
      <formula>"D"</formula>
    </cfRule>
  </conditionalFormatting>
  <conditionalFormatting sqref="CH34">
    <cfRule type="cellIs" dxfId="94" priority="303" stopIfTrue="1" operator="equal">
      <formula>"S"</formula>
    </cfRule>
    <cfRule type="cellIs" dxfId="93" priority="304" stopIfTrue="1" operator="equal">
      <formula>"D"</formula>
    </cfRule>
  </conditionalFormatting>
  <conditionalFormatting sqref="CI31:CJ31">
    <cfRule type="cellIs" dxfId="92" priority="301" stopIfTrue="1" operator="equal">
      <formula>"S"</formula>
    </cfRule>
    <cfRule type="cellIs" dxfId="91" priority="302" stopIfTrue="1" operator="equal">
      <formula>"D"</formula>
    </cfRule>
  </conditionalFormatting>
  <conditionalFormatting sqref="CH29">
    <cfRule type="cellIs" dxfId="90" priority="299" stopIfTrue="1" operator="equal">
      <formula>"S"</formula>
    </cfRule>
    <cfRule type="cellIs" dxfId="89" priority="300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88" priority="297" stopIfTrue="1" operator="equal">
      <formula>"S"</formula>
    </cfRule>
    <cfRule type="cellIs" dxfId="87" priority="298" stopIfTrue="1" operator="equal">
      <formula>"D"</formula>
    </cfRule>
  </conditionalFormatting>
  <conditionalFormatting sqref="CI29">
    <cfRule type="cellIs" dxfId="86" priority="295" stopIfTrue="1" operator="equal">
      <formula>"S"</formula>
    </cfRule>
    <cfRule type="cellIs" dxfId="85" priority="296" stopIfTrue="1" operator="equal">
      <formula>"D"</formula>
    </cfRule>
  </conditionalFormatting>
  <conditionalFormatting sqref="CI29">
    <cfRule type="cellIs" dxfId="84" priority="293" stopIfTrue="1" operator="equal">
      <formula>"S"</formula>
    </cfRule>
    <cfRule type="cellIs" dxfId="83" priority="294" stopIfTrue="1" operator="equal">
      <formula>"D"</formula>
    </cfRule>
  </conditionalFormatting>
  <conditionalFormatting sqref="CI30">
    <cfRule type="cellIs" dxfId="82" priority="291" stopIfTrue="1" operator="equal">
      <formula>"S"</formula>
    </cfRule>
    <cfRule type="cellIs" dxfId="81" priority="292" stopIfTrue="1" operator="equal">
      <formula>"D"</formula>
    </cfRule>
  </conditionalFormatting>
  <conditionalFormatting sqref="CI30">
    <cfRule type="cellIs" dxfId="80" priority="289" stopIfTrue="1" operator="equal">
      <formula>"S"</formula>
    </cfRule>
    <cfRule type="cellIs" dxfId="79" priority="290" stopIfTrue="1" operator="equal">
      <formula>"D"</formula>
    </cfRule>
  </conditionalFormatting>
  <conditionalFormatting sqref="CJ15">
    <cfRule type="cellIs" dxfId="78" priority="287" stopIfTrue="1" operator="equal">
      <formula>"S"</formula>
    </cfRule>
    <cfRule type="cellIs" dxfId="77" priority="288" stopIfTrue="1" operator="equal">
      <formula>"D"</formula>
    </cfRule>
  </conditionalFormatting>
  <conditionalFormatting sqref="CJ21">
    <cfRule type="cellIs" dxfId="76" priority="285" stopIfTrue="1" operator="equal">
      <formula>"S"</formula>
    </cfRule>
    <cfRule type="cellIs" dxfId="75" priority="286" stopIfTrue="1" operator="equal">
      <formula>"D"</formula>
    </cfRule>
  </conditionalFormatting>
  <conditionalFormatting sqref="CH21">
    <cfRule type="cellIs" dxfId="74" priority="283" stopIfTrue="1" operator="equal">
      <formula>"S"</formula>
    </cfRule>
    <cfRule type="cellIs" dxfId="73" priority="284" stopIfTrue="1" operator="equal">
      <formula>"D"</formula>
    </cfRule>
  </conditionalFormatting>
  <conditionalFormatting sqref="CL29">
    <cfRule type="cellIs" dxfId="72" priority="281" stopIfTrue="1" operator="equal">
      <formula>"S"</formula>
    </cfRule>
    <cfRule type="cellIs" dxfId="71" priority="282" stopIfTrue="1" operator="equal">
      <formula>"D"</formula>
    </cfRule>
  </conditionalFormatting>
  <conditionalFormatting sqref="CL29">
    <cfRule type="cellIs" dxfId="70" priority="279" stopIfTrue="1" operator="equal">
      <formula>"S"</formula>
    </cfRule>
    <cfRule type="cellIs" dxfId="69" priority="280" stopIfTrue="1" operator="equal">
      <formula>"D"</formula>
    </cfRule>
  </conditionalFormatting>
  <conditionalFormatting sqref="CL30">
    <cfRule type="cellIs" dxfId="68" priority="277" stopIfTrue="1" operator="equal">
      <formula>"S"</formula>
    </cfRule>
    <cfRule type="cellIs" dxfId="67" priority="278" stopIfTrue="1" operator="equal">
      <formula>"D"</formula>
    </cfRule>
  </conditionalFormatting>
  <conditionalFormatting sqref="CL30">
    <cfRule type="cellIs" dxfId="66" priority="275" stopIfTrue="1" operator="equal">
      <formula>"S"</formula>
    </cfRule>
    <cfRule type="cellIs" dxfId="65" priority="276" stopIfTrue="1" operator="equal">
      <formula>"D"</formula>
    </cfRule>
  </conditionalFormatting>
  <conditionalFormatting sqref="CJ13">
    <cfRule type="cellIs" dxfId="64" priority="273" stopIfTrue="1" operator="equal">
      <formula>"S"</formula>
    </cfRule>
    <cfRule type="cellIs" dxfId="63" priority="274" stopIfTrue="1" operator="equal">
      <formula>"D"</formula>
    </cfRule>
  </conditionalFormatting>
  <conditionalFormatting sqref="CJ13">
    <cfRule type="cellIs" dxfId="62" priority="271" stopIfTrue="1" operator="equal">
      <formula>"S"</formula>
    </cfRule>
    <cfRule type="cellIs" dxfId="61" priority="272" stopIfTrue="1" operator="equal">
      <formula>"D"</formula>
    </cfRule>
  </conditionalFormatting>
  <conditionalFormatting sqref="CJ14">
    <cfRule type="cellIs" dxfId="60" priority="269" stopIfTrue="1" operator="equal">
      <formula>"S"</formula>
    </cfRule>
    <cfRule type="cellIs" dxfId="59" priority="270" stopIfTrue="1" operator="equal">
      <formula>"D"</formula>
    </cfRule>
  </conditionalFormatting>
  <conditionalFormatting sqref="CJ14">
    <cfRule type="cellIs" dxfId="58" priority="267" stopIfTrue="1" operator="equal">
      <formula>"S"</formula>
    </cfRule>
    <cfRule type="cellIs" dxfId="57" priority="268" stopIfTrue="1" operator="equal">
      <formula>"D"</formula>
    </cfRule>
  </conditionalFormatting>
  <conditionalFormatting sqref="CI27:CJ27">
    <cfRule type="cellIs" dxfId="56" priority="263" stopIfTrue="1" operator="equal">
      <formula>"S"</formula>
    </cfRule>
    <cfRule type="cellIs" dxfId="55" priority="264" stopIfTrue="1" operator="equal">
      <formula>"D"</formula>
    </cfRule>
  </conditionalFormatting>
  <conditionalFormatting sqref="CI27:CJ27">
    <cfRule type="cellIs" dxfId="54" priority="261" stopIfTrue="1" operator="equal">
      <formula>"S"</formula>
    </cfRule>
    <cfRule type="cellIs" dxfId="53" priority="262" stopIfTrue="1" operator="equal">
      <formula>"D"</formula>
    </cfRule>
  </conditionalFormatting>
  <conditionalFormatting sqref="CI27:CJ27">
    <cfRule type="cellIs" dxfId="52" priority="259" stopIfTrue="1" operator="equal">
      <formula>"S"</formula>
    </cfRule>
    <cfRule type="cellIs" dxfId="51" priority="260" stopIfTrue="1" operator="equal">
      <formula>"D"</formula>
    </cfRule>
  </conditionalFormatting>
  <conditionalFormatting sqref="CI27:CJ27">
    <cfRule type="cellIs" dxfId="50" priority="257" stopIfTrue="1" operator="equal">
      <formula>"S"</formula>
    </cfRule>
    <cfRule type="cellIs" dxfId="49" priority="258" stopIfTrue="1" operator="equal">
      <formula>"D"</formula>
    </cfRule>
  </conditionalFormatting>
  <conditionalFormatting sqref="CI27:CJ27">
    <cfRule type="cellIs" dxfId="48" priority="265" stopIfTrue="1" operator="equal">
      <formula>"S"</formula>
    </cfRule>
    <cfRule type="cellIs" dxfId="47" priority="266" stopIfTrue="1" operator="equal">
      <formula>"D"</formula>
    </cfRule>
  </conditionalFormatting>
  <conditionalFormatting sqref="CA19">
    <cfRule type="cellIs" dxfId="46" priority="127" stopIfTrue="1" operator="equal">
      <formula>"S"</formula>
    </cfRule>
    <cfRule type="cellIs" dxfId="45" priority="128" stopIfTrue="1" operator="equal">
      <formula>"D"</formula>
    </cfRule>
  </conditionalFormatting>
  <conditionalFormatting sqref="BT20">
    <cfRule type="cellIs" dxfId="44" priority="125" stopIfTrue="1" operator="equal">
      <formula>"S"</formula>
    </cfRule>
    <cfRule type="cellIs" dxfId="43" priority="126" stopIfTrue="1" operator="equal">
      <formula>"D"</formula>
    </cfRule>
  </conditionalFormatting>
  <conditionalFormatting sqref="BL21">
    <cfRule type="cellIs" dxfId="42" priority="123" stopIfTrue="1" operator="equal">
      <formula>"S"</formula>
    </cfRule>
    <cfRule type="cellIs" dxfId="41" priority="124" stopIfTrue="1" operator="equal">
      <formula>"D"</formula>
    </cfRule>
  </conditionalFormatting>
  <conditionalFormatting sqref="BD21">
    <cfRule type="cellIs" dxfId="40" priority="121" stopIfTrue="1" operator="equal">
      <formula>"S"</formula>
    </cfRule>
    <cfRule type="cellIs" dxfId="39" priority="122" stopIfTrue="1" operator="equal">
      <formula>"D"</formula>
    </cfRule>
  </conditionalFormatting>
  <conditionalFormatting sqref="AV21">
    <cfRule type="cellIs" dxfId="38" priority="119" stopIfTrue="1" operator="equal">
      <formula>"S"</formula>
    </cfRule>
    <cfRule type="cellIs" dxfId="37" priority="120" stopIfTrue="1" operator="equal">
      <formula>"D"</formula>
    </cfRule>
  </conditionalFormatting>
  <conditionalFormatting sqref="AM21">
    <cfRule type="cellIs" dxfId="36" priority="117" stopIfTrue="1" operator="equal">
      <formula>"S"</formula>
    </cfRule>
    <cfRule type="cellIs" dxfId="35" priority="118" stopIfTrue="1" operator="equal">
      <formula>"D"</formula>
    </cfRule>
  </conditionalFormatting>
  <conditionalFormatting sqref="V11:Z34">
    <cfRule type="cellIs" dxfId="34" priority="111" stopIfTrue="1" operator="equal">
      <formula>"S"</formula>
    </cfRule>
    <cfRule type="cellIs" dxfId="33" priority="112" stopIfTrue="1" operator="equal">
      <formula>"D"</formula>
    </cfRule>
  </conditionalFormatting>
  <conditionalFormatting sqref="N8:R33">
    <cfRule type="cellIs" dxfId="32" priority="109" stopIfTrue="1" operator="equal">
      <formula>"S"</formula>
    </cfRule>
    <cfRule type="cellIs" dxfId="31" priority="110" stopIfTrue="1" operator="equal">
      <formula>"D"</formula>
    </cfRule>
  </conditionalFormatting>
  <conditionalFormatting sqref="G34:I35 H32:I32 G33 I33">
    <cfRule type="cellIs" dxfId="30" priority="107" stopIfTrue="1" operator="equal">
      <formula>"S"</formula>
    </cfRule>
    <cfRule type="cellIs" dxfId="29" priority="108" stopIfTrue="1" operator="equal">
      <formula>"D"</formula>
    </cfRule>
  </conditionalFormatting>
  <conditionalFormatting sqref="AO47">
    <cfRule type="cellIs" dxfId="28" priority="35" stopIfTrue="1" operator="equal">
      <formula>"S"</formula>
    </cfRule>
    <cfRule type="cellIs" dxfId="27" priority="36" stopIfTrue="1" operator="equal">
      <formula>"D"</formula>
    </cfRule>
  </conditionalFormatting>
  <conditionalFormatting sqref="AO47">
    <cfRule type="cellIs" dxfId="26" priority="33" stopIfTrue="1" operator="equal">
      <formula>"S"</formula>
    </cfRule>
    <cfRule type="cellIs" dxfId="25" priority="34" stopIfTrue="1" operator="equal">
      <formula>"D"</formula>
    </cfRule>
  </conditionalFormatting>
  <conditionalFormatting sqref="AO47">
    <cfRule type="cellIs" dxfId="24" priority="31" stopIfTrue="1" operator="equal">
      <formula>"S"</formula>
    </cfRule>
    <cfRule type="cellIs" dxfId="23" priority="32" stopIfTrue="1" operator="equal">
      <formula>"D"</formula>
    </cfRule>
  </conditionalFormatting>
  <conditionalFormatting sqref="AO47">
    <cfRule type="cellIs" dxfId="22" priority="29" stopIfTrue="1" operator="equal">
      <formula>"S"</formula>
    </cfRule>
    <cfRule type="cellIs" dxfId="21" priority="30" stopIfTrue="1" operator="equal">
      <formula>"D"</formula>
    </cfRule>
  </conditionalFormatting>
  <conditionalFormatting sqref="AO47">
    <cfRule type="cellIs" dxfId="20" priority="27" stopIfTrue="1" operator="equal">
      <formula>"S"</formula>
    </cfRule>
    <cfRule type="cellIs" dxfId="19" priority="28" stopIfTrue="1" operator="equal">
      <formula>"D"</formula>
    </cfRule>
  </conditionalFormatting>
  <conditionalFormatting sqref="H33">
    <cfRule type="cellIs" dxfId="18" priority="11" stopIfTrue="1" operator="equal">
      <formula>"S"</formula>
    </cfRule>
    <cfRule type="cellIs" dxfId="17" priority="12" stopIfTrue="1" operator="equal">
      <formula>"D"</formula>
    </cfRule>
  </conditionalFormatting>
  <conditionalFormatting sqref="H33">
    <cfRule type="cellIs" dxfId="16" priority="9" stopIfTrue="1" operator="equal">
      <formula>"S"</formula>
    </cfRule>
    <cfRule type="cellIs" dxfId="15" priority="10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327660</xdr:colOff>
                    <xdr:row>10</xdr:row>
                    <xdr:rowOff>182880</xdr:rowOff>
                  </from>
                  <to>
                    <xdr:col>95</xdr:col>
                    <xdr:colOff>220980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365760</xdr:colOff>
                    <xdr:row>15</xdr:row>
                    <xdr:rowOff>22860</xdr:rowOff>
                  </from>
                  <to>
                    <xdr:col>95</xdr:col>
                    <xdr:colOff>198120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6" name="Button 39">
              <controlPr defaultSize="0" print="0" autoFill="0" autoPict="0" macro="[0]!Planilha1.remarcar">
                <anchor moveWithCells="1" sizeWithCells="1">
                  <from>
                    <xdr:col>93</xdr:col>
                    <xdr:colOff>396240</xdr:colOff>
                    <xdr:row>19</xdr:row>
                    <xdr:rowOff>213360</xdr:rowOff>
                  </from>
                  <to>
                    <xdr:col>95</xdr:col>
                    <xdr:colOff>213360</xdr:colOff>
                    <xdr:row>22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6" sqref="E6"/>
    </sheetView>
  </sheetViews>
  <sheetFormatPr defaultColWidth="11.44140625" defaultRowHeight="13.2" x14ac:dyDescent="0.25"/>
  <cols>
    <col min="1" max="1" width="1.44140625" style="15" customWidth="1"/>
    <col min="2" max="2" width="13.44140625" style="15" customWidth="1"/>
    <col min="3" max="3" width="17.44140625" style="15" customWidth="1"/>
    <col min="4" max="4" width="12.44140625" style="15" customWidth="1"/>
    <col min="5" max="5" width="87" style="15" customWidth="1"/>
    <col min="6" max="6" width="51.44140625" style="15" customWidth="1"/>
    <col min="7" max="7" width="1.44140625" style="15" customWidth="1"/>
    <col min="8" max="8" width="0" style="15" hidden="1" customWidth="1"/>
    <col min="9" max="16384" width="11.44140625" style="15"/>
  </cols>
  <sheetData>
    <row r="1" spans="1:98" ht="31.8" x14ac:dyDescent="0.25">
      <c r="B1" s="55"/>
      <c r="C1" s="55"/>
      <c r="D1" s="55"/>
      <c r="E1" s="169" t="s">
        <v>58</v>
      </c>
      <c r="F1" s="170">
        <f>SUM(D6:D161)/8</f>
        <v>1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1.8" x14ac:dyDescent="0.25">
      <c r="A2" s="55"/>
      <c r="B2" s="293" t="s">
        <v>108</v>
      </c>
      <c r="C2" s="293"/>
      <c r="D2" s="293"/>
      <c r="E2" s="293"/>
      <c r="F2" s="293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8" thickBot="1" x14ac:dyDescent="0.3"/>
    <row r="4" spans="1:98" x14ac:dyDescent="0.25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8" thickBot="1" x14ac:dyDescent="0.3">
      <c r="B5" s="76"/>
      <c r="C5" s="77"/>
      <c r="D5" s="77"/>
      <c r="E5" s="78"/>
      <c r="F5" s="79"/>
    </row>
    <row r="6" spans="1:98" s="24" customFormat="1" x14ac:dyDescent="0.25">
      <c r="B6" s="129" t="s">
        <v>132</v>
      </c>
      <c r="C6" s="135" t="s">
        <v>44</v>
      </c>
      <c r="D6" s="130">
        <v>8</v>
      </c>
      <c r="E6" s="137" t="s">
        <v>128</v>
      </c>
      <c r="F6" s="139" t="s">
        <v>117</v>
      </c>
      <c r="H6" s="24">
        <f>IF(B6&lt;&gt;"",MONTH(B6),"")</f>
        <v>9</v>
      </c>
    </row>
    <row r="7" spans="1:98" s="24" customFormat="1" x14ac:dyDescent="0.25">
      <c r="B7" s="60" t="s">
        <v>133</v>
      </c>
      <c r="C7" s="136" t="s">
        <v>99</v>
      </c>
      <c r="D7" s="1" t="s">
        <v>124</v>
      </c>
      <c r="E7" s="138" t="s">
        <v>128</v>
      </c>
      <c r="F7" s="140" t="s">
        <v>117</v>
      </c>
      <c r="H7" s="24">
        <f>IF(B7&lt;&gt;"",MONTH(B7),"")</f>
        <v>9</v>
      </c>
    </row>
    <row r="8" spans="1:98" s="24" customFormat="1" x14ac:dyDescent="0.25">
      <c r="B8" s="60" t="s">
        <v>132</v>
      </c>
      <c r="C8" s="136" t="s">
        <v>100</v>
      </c>
      <c r="D8" s="1" t="s">
        <v>125</v>
      </c>
      <c r="E8" s="138" t="s">
        <v>128</v>
      </c>
      <c r="F8" s="140" t="s">
        <v>117</v>
      </c>
      <c r="H8" s="24">
        <f>IF(B8&lt;&gt;"",MONTH(B8),"")</f>
        <v>9</v>
      </c>
    </row>
    <row r="9" spans="1:98" s="24" customFormat="1" x14ac:dyDescent="0.25">
      <c r="B9" s="60"/>
      <c r="C9" s="136"/>
      <c r="D9" s="1"/>
      <c r="E9" s="138"/>
      <c r="F9" s="140"/>
      <c r="H9" s="24" t="str">
        <f t="shared" ref="H9" si="0">IF(B9&lt;&gt;"",MONTH(B9),"")</f>
        <v/>
      </c>
    </row>
    <row r="10" spans="1:98" s="24" customFormat="1" x14ac:dyDescent="0.25">
      <c r="B10" s="60"/>
      <c r="C10" s="136"/>
      <c r="D10" s="1"/>
      <c r="E10" s="138"/>
      <c r="F10" s="140"/>
      <c r="H10" s="24" t="str">
        <f t="shared" ref="H10" si="1">IF(B10&lt;&gt;"",MONTH(B10),"")</f>
        <v/>
      </c>
    </row>
    <row r="11" spans="1:98" s="24" customFormat="1" x14ac:dyDescent="0.25">
      <c r="B11" s="60"/>
      <c r="C11" s="136"/>
      <c r="D11" s="1"/>
      <c r="E11" s="138"/>
      <c r="F11" s="140"/>
      <c r="H11" s="24" t="str">
        <f>IF(B11&lt;&gt;"",MONTH(B11),"")</f>
        <v/>
      </c>
    </row>
    <row r="12" spans="1:98" s="24" customFormat="1" x14ac:dyDescent="0.25">
      <c r="B12" s="60"/>
      <c r="C12" s="136"/>
      <c r="D12" s="1"/>
      <c r="E12" s="138"/>
      <c r="F12" s="140"/>
      <c r="H12" s="24" t="str">
        <f>IF(B12&lt;&gt;"",MONTH(B12),"")</f>
        <v/>
      </c>
    </row>
    <row r="13" spans="1:98" s="24" customFormat="1" x14ac:dyDescent="0.25">
      <c r="B13" s="60"/>
      <c r="C13" s="136"/>
      <c r="D13" s="1"/>
      <c r="E13" s="138"/>
      <c r="F13" s="140"/>
      <c r="H13" s="24" t="str">
        <f>IF(B13&lt;&gt;"",MONTH(B13),"")</f>
        <v/>
      </c>
    </row>
    <row r="14" spans="1:98" s="24" customFormat="1" x14ac:dyDescent="0.25">
      <c r="B14" s="60"/>
      <c r="C14" s="136"/>
      <c r="D14" s="1"/>
      <c r="E14" s="138"/>
      <c r="F14" s="140"/>
      <c r="H14" s="24" t="str">
        <f>IF(B14&lt;&gt;"",MONTH(B14),"")</f>
        <v/>
      </c>
    </row>
    <row r="15" spans="1:98" s="24" customFormat="1" x14ac:dyDescent="0.25">
      <c r="B15" s="60"/>
      <c r="C15" s="136"/>
      <c r="D15" s="1"/>
      <c r="E15" s="138"/>
      <c r="F15" s="140"/>
      <c r="H15" s="24" t="str">
        <f>IF(B15&lt;&gt;"",MONTH(B15),"")</f>
        <v/>
      </c>
    </row>
    <row r="16" spans="1:98" s="24" customFormat="1" x14ac:dyDescent="0.25">
      <c r="B16" s="60"/>
      <c r="C16" s="136"/>
      <c r="D16" s="1"/>
      <c r="E16" s="138"/>
      <c r="F16" s="140"/>
      <c r="H16" s="24" t="str">
        <f t="shared" ref="H16:H18" si="2">IF(B16&lt;&gt;"",MONTH(B16),"")</f>
        <v/>
      </c>
    </row>
    <row r="17" spans="2:8" s="24" customFormat="1" x14ac:dyDescent="0.25">
      <c r="B17" s="60"/>
      <c r="C17" s="136"/>
      <c r="D17" s="1"/>
      <c r="E17" s="138"/>
      <c r="F17" s="140"/>
      <c r="H17" s="24" t="str">
        <f t="shared" si="2"/>
        <v/>
      </c>
    </row>
    <row r="18" spans="2:8" s="24" customFormat="1" x14ac:dyDescent="0.25">
      <c r="B18" s="60"/>
      <c r="C18" s="136"/>
      <c r="D18" s="1"/>
      <c r="E18" s="138"/>
      <c r="F18" s="140"/>
      <c r="H18" s="24" t="str">
        <f t="shared" si="2"/>
        <v/>
      </c>
    </row>
    <row r="19" spans="2:8" s="24" customFormat="1" x14ac:dyDescent="0.25">
      <c r="B19" s="60"/>
      <c r="C19" s="136"/>
      <c r="D19" s="1"/>
      <c r="E19" s="138"/>
      <c r="F19" s="140"/>
      <c r="H19" s="24" t="str">
        <f t="shared" ref="H19:H20" si="3">IF(B19&lt;&gt;"",MONTH(B19),"")</f>
        <v/>
      </c>
    </row>
    <row r="20" spans="2:8" s="24" customFormat="1" x14ac:dyDescent="0.25">
      <c r="B20" s="60"/>
      <c r="C20" s="136"/>
      <c r="D20" s="1"/>
      <c r="E20" s="138"/>
      <c r="F20" s="140"/>
      <c r="H20" s="24" t="str">
        <f t="shared" si="3"/>
        <v/>
      </c>
    </row>
    <row r="21" spans="2:8" s="24" customFormat="1" x14ac:dyDescent="0.25">
      <c r="B21" s="60"/>
      <c r="C21" s="136"/>
      <c r="D21" s="1"/>
      <c r="E21" s="138"/>
      <c r="F21" s="140"/>
      <c r="H21" s="24" t="str">
        <f t="shared" ref="H21" si="4">IF(B21&lt;&gt;"",MONTH(B21),"")</f>
        <v/>
      </c>
    </row>
    <row r="22" spans="2:8" s="24" customFormat="1" x14ac:dyDescent="0.25">
      <c r="B22" s="60"/>
      <c r="C22" s="136"/>
      <c r="D22" s="1"/>
      <c r="E22" s="138"/>
      <c r="F22" s="140"/>
      <c r="H22" s="24" t="str">
        <f t="shared" ref="H22:H83" si="5">IF(B22&lt;&gt;"",MONTH(B22),"")</f>
        <v/>
      </c>
    </row>
    <row r="23" spans="2:8" s="24" customFormat="1" x14ac:dyDescent="0.25">
      <c r="B23" s="60"/>
      <c r="C23" s="136"/>
      <c r="D23" s="1"/>
      <c r="E23" s="138"/>
      <c r="F23" s="140"/>
      <c r="H23" s="24" t="str">
        <f t="shared" si="5"/>
        <v/>
      </c>
    </row>
    <row r="24" spans="2:8" s="24" customFormat="1" x14ac:dyDescent="0.25">
      <c r="B24" s="60"/>
      <c r="C24" s="136"/>
      <c r="D24" s="1"/>
      <c r="E24" s="138"/>
      <c r="F24" s="140"/>
      <c r="H24" s="24" t="str">
        <f>IF(B24&lt;&gt;"",MONTH(B24),"")</f>
        <v/>
      </c>
    </row>
    <row r="25" spans="2:8" s="24" customFormat="1" x14ac:dyDescent="0.25">
      <c r="B25" s="60"/>
      <c r="C25" s="136"/>
      <c r="D25" s="1"/>
      <c r="E25" s="138"/>
      <c r="F25" s="140"/>
      <c r="H25" s="24" t="str">
        <f t="shared" si="5"/>
        <v/>
      </c>
    </row>
    <row r="26" spans="2:8" s="24" customFormat="1" x14ac:dyDescent="0.25">
      <c r="B26" s="60"/>
      <c r="C26" s="136"/>
      <c r="D26" s="1"/>
      <c r="E26" s="138"/>
      <c r="F26" s="140"/>
      <c r="H26" s="24" t="str">
        <f t="shared" si="5"/>
        <v/>
      </c>
    </row>
    <row r="27" spans="2:8" s="24" customFormat="1" x14ac:dyDescent="0.25">
      <c r="B27" s="60"/>
      <c r="C27" s="136"/>
      <c r="D27" s="1"/>
      <c r="E27" s="138"/>
      <c r="F27" s="140"/>
      <c r="H27" s="24" t="str">
        <f t="shared" si="5"/>
        <v/>
      </c>
    </row>
    <row r="28" spans="2:8" s="24" customFormat="1" x14ac:dyDescent="0.25">
      <c r="B28" s="60"/>
      <c r="C28" s="136"/>
      <c r="D28" s="1"/>
      <c r="E28" s="138"/>
      <c r="F28" s="140"/>
      <c r="H28" s="24" t="str">
        <f t="shared" si="5"/>
        <v/>
      </c>
    </row>
    <row r="29" spans="2:8" s="24" customFormat="1" x14ac:dyDescent="0.25">
      <c r="B29" s="60"/>
      <c r="C29" s="136"/>
      <c r="D29" s="1"/>
      <c r="E29" s="138"/>
      <c r="F29" s="140"/>
      <c r="H29" s="24" t="str">
        <f t="shared" si="5"/>
        <v/>
      </c>
    </row>
    <row r="30" spans="2:8" s="24" customFormat="1" x14ac:dyDescent="0.25">
      <c r="B30" s="60"/>
      <c r="C30" s="136"/>
      <c r="D30" s="1"/>
      <c r="E30" s="138"/>
      <c r="F30" s="150"/>
      <c r="H30" s="24" t="str">
        <f t="shared" si="5"/>
        <v/>
      </c>
    </row>
    <row r="31" spans="2:8" s="24" customFormat="1" x14ac:dyDescent="0.25">
      <c r="B31" s="60"/>
      <c r="C31" s="136"/>
      <c r="D31" s="1"/>
      <c r="E31" s="138"/>
      <c r="F31" s="140"/>
      <c r="H31" s="24" t="str">
        <f t="shared" si="5"/>
        <v/>
      </c>
    </row>
    <row r="32" spans="2:8" s="24" customFormat="1" x14ac:dyDescent="0.25">
      <c r="B32" s="60"/>
      <c r="C32" s="136"/>
      <c r="D32" s="1"/>
      <c r="E32" s="138"/>
      <c r="F32" s="140"/>
      <c r="H32" s="24" t="str">
        <f t="shared" si="5"/>
        <v/>
      </c>
    </row>
    <row r="33" spans="2:8" s="24" customFormat="1" x14ac:dyDescent="0.25">
      <c r="B33" s="61"/>
      <c r="C33" s="136"/>
      <c r="D33" s="1"/>
      <c r="E33" s="138"/>
      <c r="F33" s="140"/>
      <c r="H33" s="24" t="str">
        <f t="shared" si="5"/>
        <v/>
      </c>
    </row>
    <row r="34" spans="2:8" s="24" customFormat="1" x14ac:dyDescent="0.25">
      <c r="B34" s="61"/>
      <c r="C34" s="136"/>
      <c r="D34" s="1"/>
      <c r="E34" s="138"/>
      <c r="F34" s="151"/>
      <c r="H34" s="24" t="str">
        <f t="shared" si="5"/>
        <v/>
      </c>
    </row>
    <row r="35" spans="2:8" s="24" customFormat="1" x14ac:dyDescent="0.25">
      <c r="B35" s="60"/>
      <c r="C35" s="136"/>
      <c r="D35" s="1"/>
      <c r="E35" s="138"/>
      <c r="F35" s="140"/>
      <c r="H35" s="24" t="str">
        <f t="shared" si="5"/>
        <v/>
      </c>
    </row>
    <row r="36" spans="2:8" s="24" customFormat="1" x14ac:dyDescent="0.25">
      <c r="B36" s="60"/>
      <c r="C36" s="136"/>
      <c r="D36" s="1"/>
      <c r="E36" s="138"/>
      <c r="F36" s="140"/>
      <c r="H36" s="24" t="str">
        <f t="shared" si="5"/>
        <v/>
      </c>
    </row>
    <row r="37" spans="2:8" s="24" customFormat="1" x14ac:dyDescent="0.25">
      <c r="B37" s="61"/>
      <c r="C37" s="136"/>
      <c r="D37" s="1"/>
      <c r="E37" s="138"/>
      <c r="F37" s="151"/>
      <c r="H37" s="24" t="str">
        <f t="shared" si="5"/>
        <v/>
      </c>
    </row>
    <row r="38" spans="2:8" s="24" customFormat="1" x14ac:dyDescent="0.25">
      <c r="B38" s="61"/>
      <c r="C38" s="136"/>
      <c r="D38" s="1"/>
      <c r="E38" s="138"/>
      <c r="F38" s="151"/>
      <c r="H38" s="24" t="str">
        <f t="shared" si="5"/>
        <v/>
      </c>
    </row>
    <row r="39" spans="2:8" s="24" customFormat="1" x14ac:dyDescent="0.25">
      <c r="B39" s="61"/>
      <c r="C39" s="136"/>
      <c r="D39" s="1"/>
      <c r="E39" s="138"/>
      <c r="F39" s="151"/>
      <c r="H39" s="24" t="str">
        <f t="shared" si="5"/>
        <v/>
      </c>
    </row>
    <row r="40" spans="2:8" s="24" customFormat="1" x14ac:dyDescent="0.25">
      <c r="B40" s="61"/>
      <c r="C40" s="136"/>
      <c r="D40" s="1"/>
      <c r="E40" s="138"/>
      <c r="F40" s="151"/>
      <c r="H40" s="24" t="str">
        <f t="shared" si="5"/>
        <v/>
      </c>
    </row>
    <row r="41" spans="2:8" s="24" customFormat="1" x14ac:dyDescent="0.25">
      <c r="B41" s="60"/>
      <c r="C41" s="136"/>
      <c r="D41" s="1"/>
      <c r="E41" s="138"/>
      <c r="F41" s="140"/>
      <c r="H41" s="24" t="str">
        <f t="shared" si="5"/>
        <v/>
      </c>
    </row>
    <row r="42" spans="2:8" s="24" customFormat="1" x14ac:dyDescent="0.25">
      <c r="B42" s="60"/>
      <c r="C42" s="136"/>
      <c r="D42" s="1"/>
      <c r="E42" s="138"/>
      <c r="F42" s="140"/>
      <c r="H42" s="24" t="str">
        <f t="shared" si="5"/>
        <v/>
      </c>
    </row>
    <row r="43" spans="2:8" s="24" customFormat="1" x14ac:dyDescent="0.25">
      <c r="B43" s="60"/>
      <c r="C43" s="136"/>
      <c r="D43" s="1"/>
      <c r="E43" s="138"/>
      <c r="F43" s="150"/>
      <c r="H43" s="24" t="str">
        <f t="shared" si="5"/>
        <v/>
      </c>
    </row>
    <row r="44" spans="2:8" s="24" customFormat="1" x14ac:dyDescent="0.25">
      <c r="B44" s="60"/>
      <c r="C44" s="136"/>
      <c r="D44" s="1"/>
      <c r="E44" s="138"/>
      <c r="F44" s="150"/>
      <c r="H44" s="24" t="str">
        <f t="shared" si="5"/>
        <v/>
      </c>
    </row>
    <row r="45" spans="2:8" s="24" customFormat="1" x14ac:dyDescent="0.25">
      <c r="B45" s="60"/>
      <c r="C45" s="136"/>
      <c r="D45" s="1"/>
      <c r="E45" s="138"/>
      <c r="F45" s="150"/>
      <c r="H45" s="24" t="str">
        <f t="shared" si="5"/>
        <v/>
      </c>
    </row>
    <row r="46" spans="2:8" s="24" customFormat="1" x14ac:dyDescent="0.25">
      <c r="B46" s="60"/>
      <c r="C46" s="136"/>
      <c r="D46" s="1"/>
      <c r="E46" s="138"/>
      <c r="F46" s="140"/>
      <c r="H46" s="24" t="str">
        <f t="shared" si="5"/>
        <v/>
      </c>
    </row>
    <row r="47" spans="2:8" s="24" customFormat="1" x14ac:dyDescent="0.25">
      <c r="B47" s="60"/>
      <c r="C47" s="136"/>
      <c r="D47" s="1"/>
      <c r="E47" s="138"/>
      <c r="F47" s="140"/>
      <c r="H47" s="24" t="str">
        <f t="shared" si="5"/>
        <v/>
      </c>
    </row>
    <row r="48" spans="2:8" s="24" customFormat="1" x14ac:dyDescent="0.25">
      <c r="B48" s="60"/>
      <c r="C48" s="136"/>
      <c r="D48" s="1"/>
      <c r="E48" s="138"/>
      <c r="F48" s="140"/>
      <c r="H48" s="24" t="str">
        <f t="shared" si="5"/>
        <v/>
      </c>
    </row>
    <row r="49" spans="2:8" s="24" customFormat="1" x14ac:dyDescent="0.25">
      <c r="B49" s="60"/>
      <c r="C49" s="136"/>
      <c r="D49" s="1"/>
      <c r="E49" s="138"/>
      <c r="F49" s="151"/>
      <c r="H49" s="24" t="str">
        <f t="shared" si="5"/>
        <v/>
      </c>
    </row>
    <row r="50" spans="2:8" s="24" customFormat="1" x14ac:dyDescent="0.25">
      <c r="B50" s="60"/>
      <c r="C50" s="136"/>
      <c r="D50" s="1"/>
      <c r="E50" s="138"/>
      <c r="F50" s="140"/>
      <c r="H50" s="24" t="str">
        <f t="shared" si="5"/>
        <v/>
      </c>
    </row>
    <row r="51" spans="2:8" s="24" customFormat="1" x14ac:dyDescent="0.25">
      <c r="B51" s="61"/>
      <c r="C51" s="136"/>
      <c r="D51" s="1"/>
      <c r="E51" s="138"/>
      <c r="F51" s="140"/>
      <c r="H51" s="24" t="str">
        <f t="shared" si="5"/>
        <v/>
      </c>
    </row>
    <row r="52" spans="2:8" s="24" customFormat="1" x14ac:dyDescent="0.25">
      <c r="B52" s="60"/>
      <c r="C52" s="136"/>
      <c r="D52" s="1"/>
      <c r="E52" s="138"/>
      <c r="F52" s="140"/>
      <c r="H52" s="24" t="str">
        <f t="shared" si="5"/>
        <v/>
      </c>
    </row>
    <row r="53" spans="2:8" s="24" customFormat="1" x14ac:dyDescent="0.25">
      <c r="B53" s="60"/>
      <c r="C53" s="136"/>
      <c r="D53" s="1"/>
      <c r="E53" s="138"/>
      <c r="F53" s="140"/>
      <c r="H53" s="24" t="str">
        <f t="shared" si="5"/>
        <v/>
      </c>
    </row>
    <row r="54" spans="2:8" s="24" customFormat="1" x14ac:dyDescent="0.25">
      <c r="B54" s="60"/>
      <c r="C54" s="136"/>
      <c r="D54" s="1"/>
      <c r="E54" s="138"/>
      <c r="F54" s="151"/>
      <c r="H54" s="24" t="str">
        <f t="shared" si="5"/>
        <v/>
      </c>
    </row>
    <row r="55" spans="2:8" s="24" customFormat="1" x14ac:dyDescent="0.25">
      <c r="B55" s="61"/>
      <c r="C55" s="136"/>
      <c r="D55" s="1"/>
      <c r="E55" s="138"/>
      <c r="F55" s="151"/>
      <c r="H55" s="24" t="str">
        <f t="shared" si="5"/>
        <v/>
      </c>
    </row>
    <row r="56" spans="2:8" s="24" customFormat="1" x14ac:dyDescent="0.25">
      <c r="B56" s="61"/>
      <c r="C56" s="136"/>
      <c r="D56" s="1"/>
      <c r="E56" s="138"/>
      <c r="F56" s="151"/>
      <c r="H56" s="24" t="str">
        <f t="shared" si="5"/>
        <v/>
      </c>
    </row>
    <row r="57" spans="2:8" s="24" customFormat="1" x14ac:dyDescent="0.25">
      <c r="B57" s="61"/>
      <c r="C57" s="136"/>
      <c r="D57" s="1"/>
      <c r="E57" s="138"/>
      <c r="F57" s="151"/>
      <c r="H57" s="24" t="str">
        <f t="shared" si="5"/>
        <v/>
      </c>
    </row>
    <row r="58" spans="2:8" s="24" customFormat="1" x14ac:dyDescent="0.25">
      <c r="B58" s="60"/>
      <c r="C58" s="136"/>
      <c r="D58" s="1"/>
      <c r="E58" s="138"/>
      <c r="F58" s="151"/>
      <c r="H58" s="24" t="str">
        <f t="shared" si="5"/>
        <v/>
      </c>
    </row>
    <row r="59" spans="2:8" s="24" customFormat="1" x14ac:dyDescent="0.25">
      <c r="B59" s="60"/>
      <c r="C59" s="136"/>
      <c r="D59" s="1"/>
      <c r="E59" s="138"/>
      <c r="F59" s="150"/>
      <c r="H59" s="24" t="str">
        <f t="shared" si="5"/>
        <v/>
      </c>
    </row>
    <row r="60" spans="2:8" s="24" customFormat="1" x14ac:dyDescent="0.25">
      <c r="B60" s="60"/>
      <c r="C60" s="136"/>
      <c r="D60" s="1"/>
      <c r="E60" s="138"/>
      <c r="F60" s="140"/>
      <c r="H60" s="24" t="str">
        <f t="shared" si="5"/>
        <v/>
      </c>
    </row>
    <row r="61" spans="2:8" s="24" customFormat="1" x14ac:dyDescent="0.25">
      <c r="B61" s="60"/>
      <c r="C61" s="136"/>
      <c r="D61" s="1"/>
      <c r="E61" s="138"/>
      <c r="F61" s="151"/>
      <c r="H61" s="24" t="str">
        <f t="shared" si="5"/>
        <v/>
      </c>
    </row>
    <row r="62" spans="2:8" s="24" customFormat="1" x14ac:dyDescent="0.25">
      <c r="B62" s="60"/>
      <c r="C62" s="136"/>
      <c r="D62" s="1"/>
      <c r="E62" s="152"/>
      <c r="F62" s="151"/>
      <c r="H62" s="24" t="str">
        <f t="shared" si="5"/>
        <v/>
      </c>
    </row>
    <row r="63" spans="2:8" s="24" customFormat="1" x14ac:dyDescent="0.25">
      <c r="B63" s="60"/>
      <c r="C63" s="136"/>
      <c r="D63" s="1"/>
      <c r="E63" s="152"/>
      <c r="F63" s="151"/>
      <c r="H63" s="24" t="str">
        <f t="shared" si="5"/>
        <v/>
      </c>
    </row>
    <row r="64" spans="2:8" s="24" customFormat="1" x14ac:dyDescent="0.25">
      <c r="B64" s="60"/>
      <c r="C64" s="136"/>
      <c r="D64" s="1"/>
      <c r="E64" s="138"/>
      <c r="F64" s="151"/>
      <c r="H64" s="24" t="str">
        <f t="shared" si="5"/>
        <v/>
      </c>
    </row>
    <row r="65" spans="2:8" s="24" customFormat="1" x14ac:dyDescent="0.25">
      <c r="B65" s="60"/>
      <c r="C65" s="136"/>
      <c r="D65" s="1"/>
      <c r="E65" s="152"/>
      <c r="F65" s="151"/>
      <c r="H65" s="24" t="str">
        <f t="shared" si="5"/>
        <v/>
      </c>
    </row>
    <row r="66" spans="2:8" s="24" customFormat="1" x14ac:dyDescent="0.25">
      <c r="B66" s="60"/>
      <c r="C66" s="136"/>
      <c r="D66" s="1"/>
      <c r="E66" s="152"/>
      <c r="F66" s="151"/>
      <c r="H66" s="24" t="str">
        <f t="shared" si="5"/>
        <v/>
      </c>
    </row>
    <row r="67" spans="2:8" s="24" customFormat="1" x14ac:dyDescent="0.25">
      <c r="B67" s="60"/>
      <c r="C67" s="136"/>
      <c r="D67" s="1"/>
      <c r="E67" s="152"/>
      <c r="F67" s="151"/>
      <c r="H67" s="24" t="str">
        <f t="shared" si="5"/>
        <v/>
      </c>
    </row>
    <row r="68" spans="2:8" s="24" customFormat="1" x14ac:dyDescent="0.25">
      <c r="B68" s="60"/>
      <c r="C68" s="136"/>
      <c r="D68" s="1"/>
      <c r="E68" s="138"/>
      <c r="F68" s="140"/>
      <c r="H68" s="24" t="str">
        <f t="shared" si="5"/>
        <v/>
      </c>
    </row>
    <row r="69" spans="2:8" s="24" customFormat="1" x14ac:dyDescent="0.25">
      <c r="B69" s="60"/>
      <c r="C69" s="136"/>
      <c r="D69" s="1"/>
      <c r="E69" s="138"/>
      <c r="F69" s="140"/>
      <c r="H69" s="24" t="str">
        <f t="shared" si="5"/>
        <v/>
      </c>
    </row>
    <row r="70" spans="2:8" s="24" customFormat="1" x14ac:dyDescent="0.25">
      <c r="B70" s="60"/>
      <c r="C70" s="136"/>
      <c r="D70" s="1"/>
      <c r="E70" s="138"/>
      <c r="F70" s="140"/>
      <c r="H70" s="24" t="str">
        <f t="shared" si="5"/>
        <v/>
      </c>
    </row>
    <row r="71" spans="2:8" s="24" customFormat="1" x14ac:dyDescent="0.25">
      <c r="B71" s="60"/>
      <c r="C71" s="136"/>
      <c r="D71" s="1"/>
      <c r="E71" s="138"/>
      <c r="F71" s="140"/>
      <c r="H71" s="24" t="str">
        <f t="shared" si="5"/>
        <v/>
      </c>
    </row>
    <row r="72" spans="2:8" s="24" customFormat="1" x14ac:dyDescent="0.25">
      <c r="B72" s="60"/>
      <c r="C72" s="136"/>
      <c r="D72" s="1"/>
      <c r="E72" s="138"/>
      <c r="F72" s="150"/>
      <c r="H72" s="24" t="str">
        <f t="shared" si="5"/>
        <v/>
      </c>
    </row>
    <row r="73" spans="2:8" s="24" customFormat="1" x14ac:dyDescent="0.25">
      <c r="B73" s="60"/>
      <c r="C73" s="136"/>
      <c r="D73" s="1"/>
      <c r="E73" s="138"/>
      <c r="F73" s="151"/>
      <c r="H73" s="24" t="str">
        <f t="shared" si="5"/>
        <v/>
      </c>
    </row>
    <row r="74" spans="2:8" s="24" customFormat="1" x14ac:dyDescent="0.25">
      <c r="B74" s="60"/>
      <c r="C74" s="136"/>
      <c r="D74" s="1"/>
      <c r="E74" s="138"/>
      <c r="F74" s="140"/>
      <c r="H74" s="24" t="str">
        <f t="shared" si="5"/>
        <v/>
      </c>
    </row>
    <row r="75" spans="2:8" s="24" customFormat="1" x14ac:dyDescent="0.25">
      <c r="B75" s="60"/>
      <c r="C75" s="136"/>
      <c r="D75" s="1"/>
      <c r="E75" s="138"/>
      <c r="F75" s="140"/>
      <c r="H75" s="24" t="str">
        <f t="shared" si="5"/>
        <v/>
      </c>
    </row>
    <row r="76" spans="2:8" s="24" customFormat="1" x14ac:dyDescent="0.25">
      <c r="B76" s="60"/>
      <c r="C76" s="136"/>
      <c r="D76" s="1"/>
      <c r="E76" s="138"/>
      <c r="F76" s="151"/>
      <c r="H76" s="24" t="str">
        <f t="shared" si="5"/>
        <v/>
      </c>
    </row>
    <row r="77" spans="2:8" s="24" customFormat="1" x14ac:dyDescent="0.25">
      <c r="B77" s="60"/>
      <c r="C77" s="136"/>
      <c r="D77" s="1"/>
      <c r="E77" s="138"/>
      <c r="F77" s="151"/>
      <c r="H77" s="24" t="str">
        <f t="shared" si="5"/>
        <v/>
      </c>
    </row>
    <row r="78" spans="2:8" s="24" customFormat="1" x14ac:dyDescent="0.25">
      <c r="B78" s="60"/>
      <c r="C78" s="136"/>
      <c r="D78" s="1"/>
      <c r="E78" s="138"/>
      <c r="F78" s="151"/>
      <c r="H78" s="24" t="str">
        <f t="shared" si="5"/>
        <v/>
      </c>
    </row>
    <row r="79" spans="2:8" s="24" customFormat="1" x14ac:dyDescent="0.25">
      <c r="B79" s="60"/>
      <c r="C79" s="136"/>
      <c r="D79" s="1"/>
      <c r="E79" s="138"/>
      <c r="F79" s="140"/>
      <c r="H79" s="24" t="str">
        <f t="shared" si="5"/>
        <v/>
      </c>
    </row>
    <row r="80" spans="2:8" s="24" customFormat="1" x14ac:dyDescent="0.25">
      <c r="B80" s="60"/>
      <c r="C80" s="136"/>
      <c r="D80" s="1"/>
      <c r="E80" s="138"/>
      <c r="F80" s="151"/>
      <c r="H80" s="24" t="str">
        <f t="shared" si="5"/>
        <v/>
      </c>
    </row>
    <row r="81" spans="2:8" s="24" customFormat="1" x14ac:dyDescent="0.25">
      <c r="B81" s="61"/>
      <c r="C81" s="136"/>
      <c r="D81" s="1"/>
      <c r="E81" s="138"/>
      <c r="F81" s="151"/>
      <c r="H81" s="24" t="str">
        <f t="shared" si="5"/>
        <v/>
      </c>
    </row>
    <row r="82" spans="2:8" s="24" customFormat="1" x14ac:dyDescent="0.25">
      <c r="B82" s="61"/>
      <c r="C82" s="136"/>
      <c r="D82" s="1"/>
      <c r="E82" s="138"/>
      <c r="F82" s="151"/>
      <c r="H82" s="24" t="str">
        <f t="shared" si="5"/>
        <v/>
      </c>
    </row>
    <row r="83" spans="2:8" s="24" customFormat="1" x14ac:dyDescent="0.25">
      <c r="B83" s="60"/>
      <c r="C83" s="136"/>
      <c r="D83" s="1"/>
      <c r="E83" s="138"/>
      <c r="F83" s="151"/>
      <c r="H83" s="24" t="str">
        <f t="shared" si="5"/>
        <v/>
      </c>
    </row>
    <row r="84" spans="2:8" s="24" customFormat="1" x14ac:dyDescent="0.25">
      <c r="B84" s="60"/>
      <c r="C84" s="136"/>
      <c r="D84" s="1"/>
      <c r="E84" s="138"/>
      <c r="F84" s="150"/>
      <c r="H84" s="24" t="str">
        <f>IF(B84&lt;&gt;"",MONTH(B84),"")</f>
        <v/>
      </c>
    </row>
    <row r="85" spans="2:8" s="24" customFormat="1" x14ac:dyDescent="0.25">
      <c r="B85" s="60"/>
      <c r="C85" s="136"/>
      <c r="D85" s="1"/>
      <c r="E85" s="138"/>
      <c r="F85" s="150"/>
      <c r="H85" s="24" t="str">
        <f>IF(B85&lt;&gt;"",MONTH(B85),"")</f>
        <v/>
      </c>
    </row>
    <row r="86" spans="2:8" s="24" customFormat="1" x14ac:dyDescent="0.25">
      <c r="B86" s="60"/>
      <c r="C86" s="136"/>
      <c r="D86" s="1"/>
      <c r="E86" s="138"/>
      <c r="F86" s="150"/>
    </row>
    <row r="87" spans="2:8" s="24" customFormat="1" x14ac:dyDescent="0.25">
      <c r="B87" s="60"/>
      <c r="C87" s="136"/>
      <c r="D87" s="1"/>
      <c r="E87" s="138"/>
      <c r="F87" s="140"/>
    </row>
    <row r="88" spans="2:8" s="24" customFormat="1" x14ac:dyDescent="0.25">
      <c r="B88" s="60"/>
      <c r="C88" s="136"/>
      <c r="D88" s="1"/>
      <c r="E88" s="138"/>
      <c r="F88" s="140"/>
    </row>
    <row r="89" spans="2:8" s="24" customFormat="1" x14ac:dyDescent="0.25">
      <c r="B89" s="60"/>
      <c r="C89" s="136"/>
      <c r="D89" s="1"/>
      <c r="E89" s="138"/>
      <c r="F89" s="140"/>
    </row>
    <row r="90" spans="2:8" s="24" customFormat="1" x14ac:dyDescent="0.25">
      <c r="B90" s="60"/>
      <c r="C90" s="136"/>
      <c r="D90" s="1"/>
      <c r="E90" s="138"/>
      <c r="F90" s="140"/>
    </row>
    <row r="91" spans="2:8" s="24" customFormat="1" x14ac:dyDescent="0.25">
      <c r="B91" s="60"/>
      <c r="C91" s="136"/>
      <c r="D91" s="1"/>
      <c r="E91" s="138"/>
      <c r="F91" s="151"/>
    </row>
    <row r="92" spans="2:8" s="24" customFormat="1" x14ac:dyDescent="0.25">
      <c r="B92" s="60"/>
      <c r="C92" s="136"/>
      <c r="D92" s="1"/>
      <c r="E92" s="138"/>
      <c r="F92" s="140"/>
    </row>
    <row r="93" spans="2:8" s="24" customFormat="1" x14ac:dyDescent="0.25">
      <c r="B93" s="60"/>
      <c r="C93" s="136"/>
      <c r="D93" s="1"/>
      <c r="E93" s="138"/>
      <c r="F93" s="140"/>
    </row>
    <row r="94" spans="2:8" s="24" customFormat="1" x14ac:dyDescent="0.25">
      <c r="B94" s="60"/>
      <c r="C94" s="136"/>
      <c r="D94" s="1"/>
      <c r="E94" s="138"/>
      <c r="F94" s="151"/>
    </row>
    <row r="95" spans="2:8" s="24" customFormat="1" x14ac:dyDescent="0.25">
      <c r="B95" s="60"/>
      <c r="C95" s="136"/>
      <c r="D95" s="1"/>
      <c r="E95" s="138"/>
      <c r="F95" s="140"/>
    </row>
    <row r="96" spans="2:8" s="24" customFormat="1" x14ac:dyDescent="0.25">
      <c r="B96" s="60"/>
      <c r="C96" s="136"/>
      <c r="D96" s="1"/>
      <c r="E96" s="138"/>
      <c r="F96" s="151"/>
    </row>
    <row r="97" spans="2:6" s="24" customFormat="1" x14ac:dyDescent="0.25">
      <c r="B97" s="60"/>
      <c r="C97" s="136"/>
      <c r="D97" s="1"/>
      <c r="E97" s="138"/>
      <c r="F97" s="151"/>
    </row>
    <row r="98" spans="2:6" s="24" customFormat="1" x14ac:dyDescent="0.25">
      <c r="B98" s="61"/>
      <c r="C98" s="136"/>
      <c r="D98" s="1"/>
      <c r="E98" s="138"/>
      <c r="F98" s="151"/>
    </row>
    <row r="99" spans="2:6" s="24" customFormat="1" x14ac:dyDescent="0.25">
      <c r="B99" s="61"/>
      <c r="C99" s="136"/>
      <c r="D99" s="1"/>
      <c r="E99" s="138"/>
      <c r="F99" s="151"/>
    </row>
    <row r="100" spans="2:6" s="24" customFormat="1" x14ac:dyDescent="0.25">
      <c r="B100" s="60"/>
      <c r="C100" s="136"/>
      <c r="D100" s="1"/>
      <c r="E100" s="138"/>
      <c r="F100" s="151"/>
    </row>
    <row r="101" spans="2:6" s="24" customFormat="1" x14ac:dyDescent="0.25">
      <c r="B101" s="60"/>
      <c r="C101" s="136"/>
      <c r="D101" s="1"/>
      <c r="E101" s="152"/>
      <c r="F101" s="151"/>
    </row>
    <row r="102" spans="2:6" s="24" customFormat="1" x14ac:dyDescent="0.25">
      <c r="B102" s="60"/>
      <c r="C102" s="136"/>
      <c r="D102" s="1"/>
      <c r="E102" s="152"/>
      <c r="F102" s="151"/>
    </row>
    <row r="103" spans="2:6" s="24" customFormat="1" x14ac:dyDescent="0.25">
      <c r="B103" s="60"/>
      <c r="C103" s="136"/>
      <c r="D103" s="1"/>
      <c r="E103" s="138"/>
      <c r="F103" s="151"/>
    </row>
    <row r="104" spans="2:6" s="24" customFormat="1" x14ac:dyDescent="0.25">
      <c r="B104" s="60"/>
      <c r="C104" s="136"/>
      <c r="D104" s="1"/>
      <c r="E104" s="138"/>
      <c r="F104" s="150"/>
    </row>
    <row r="105" spans="2:6" s="24" customFormat="1" x14ac:dyDescent="0.25">
      <c r="B105" s="60"/>
      <c r="C105" s="136"/>
      <c r="D105" s="1"/>
      <c r="E105" s="138"/>
      <c r="F105" s="151"/>
    </row>
    <row r="106" spans="2:6" s="24" customFormat="1" x14ac:dyDescent="0.25">
      <c r="B106" s="60"/>
      <c r="C106" s="136"/>
      <c r="D106" s="1"/>
      <c r="E106" s="138"/>
      <c r="F106" s="140"/>
    </row>
    <row r="107" spans="2:6" s="24" customFormat="1" x14ac:dyDescent="0.25">
      <c r="B107" s="60"/>
      <c r="C107" s="136"/>
      <c r="D107" s="1"/>
      <c r="E107" s="152"/>
      <c r="F107" s="151"/>
    </row>
    <row r="108" spans="2:6" s="24" customFormat="1" x14ac:dyDescent="0.25">
      <c r="B108" s="60"/>
      <c r="C108" s="136"/>
      <c r="D108" s="1"/>
      <c r="E108" s="152"/>
      <c r="F108" s="151"/>
    </row>
    <row r="109" spans="2:6" s="24" customFormat="1" x14ac:dyDescent="0.25">
      <c r="B109" s="60"/>
      <c r="C109" s="136"/>
      <c r="D109" s="1"/>
      <c r="E109" s="152"/>
      <c r="F109" s="151"/>
    </row>
    <row r="110" spans="2:6" s="24" customFormat="1" x14ac:dyDescent="0.25">
      <c r="B110" s="60"/>
      <c r="C110" s="136"/>
      <c r="D110" s="1"/>
      <c r="E110" s="138"/>
      <c r="F110" s="151"/>
    </row>
    <row r="111" spans="2:6" s="24" customFormat="1" x14ac:dyDescent="0.25">
      <c r="B111" s="60"/>
      <c r="C111" s="136"/>
      <c r="D111" s="1"/>
      <c r="E111" s="138"/>
      <c r="F111" s="140"/>
    </row>
    <row r="112" spans="2:6" s="24" customFormat="1" x14ac:dyDescent="0.25">
      <c r="B112" s="60"/>
      <c r="C112" s="136"/>
      <c r="D112" s="1"/>
      <c r="E112" s="138"/>
      <c r="F112" s="140"/>
    </row>
    <row r="113" spans="2:6" s="24" customFormat="1" x14ac:dyDescent="0.25">
      <c r="B113" s="60"/>
      <c r="C113" s="136"/>
      <c r="D113" s="1"/>
      <c r="E113" s="138"/>
      <c r="F113" s="140"/>
    </row>
    <row r="114" spans="2:6" s="24" customFormat="1" x14ac:dyDescent="0.25">
      <c r="B114" s="60"/>
      <c r="C114" s="136"/>
      <c r="D114" s="1"/>
      <c r="E114" s="138"/>
      <c r="F114" s="140"/>
    </row>
    <row r="115" spans="2:6" s="24" customFormat="1" x14ac:dyDescent="0.25">
      <c r="B115" s="60"/>
      <c r="C115" s="136"/>
      <c r="D115" s="1"/>
      <c r="E115" s="138"/>
      <c r="F115" s="140"/>
    </row>
    <row r="116" spans="2:6" s="24" customFormat="1" x14ac:dyDescent="0.25">
      <c r="B116" s="60"/>
      <c r="C116" s="136"/>
      <c r="D116" s="1"/>
      <c r="E116" s="138"/>
      <c r="F116" s="151"/>
    </row>
    <row r="117" spans="2:6" s="24" customFormat="1" x14ac:dyDescent="0.25">
      <c r="B117" s="60"/>
      <c r="C117" s="136"/>
      <c r="D117" s="1"/>
      <c r="E117" s="138"/>
      <c r="F117" s="151"/>
    </row>
    <row r="118" spans="2:6" s="24" customFormat="1" x14ac:dyDescent="0.25">
      <c r="B118" s="60"/>
      <c r="C118" s="136"/>
      <c r="D118" s="1"/>
      <c r="E118" s="138"/>
      <c r="F118" s="140"/>
    </row>
    <row r="119" spans="2:6" s="24" customFormat="1" x14ac:dyDescent="0.25">
      <c r="B119" s="60"/>
      <c r="C119" s="136"/>
      <c r="D119" s="1"/>
      <c r="E119" s="138"/>
      <c r="F119" s="140"/>
    </row>
    <row r="120" spans="2:6" s="24" customFormat="1" x14ac:dyDescent="0.25">
      <c r="B120" s="61"/>
      <c r="C120" s="136"/>
      <c r="D120" s="1"/>
      <c r="E120" s="138"/>
      <c r="F120" s="151"/>
    </row>
    <row r="121" spans="2:6" s="24" customFormat="1" x14ac:dyDescent="0.25">
      <c r="B121" s="61"/>
      <c r="C121" s="136"/>
      <c r="D121" s="1"/>
      <c r="E121" s="138"/>
      <c r="F121" s="151"/>
    </row>
    <row r="122" spans="2:6" s="24" customFormat="1" x14ac:dyDescent="0.25">
      <c r="B122" s="60"/>
      <c r="C122" s="136"/>
      <c r="D122" s="1"/>
      <c r="E122" s="138"/>
      <c r="F122" s="140"/>
    </row>
    <row r="123" spans="2:6" s="24" customFormat="1" x14ac:dyDescent="0.25">
      <c r="B123" s="60"/>
      <c r="C123" s="136"/>
      <c r="D123" s="1"/>
      <c r="E123" s="152"/>
      <c r="F123" s="151"/>
    </row>
    <row r="124" spans="2:6" s="24" customFormat="1" x14ac:dyDescent="0.25">
      <c r="B124" s="60"/>
      <c r="C124" s="136"/>
      <c r="D124" s="1"/>
      <c r="E124" s="152"/>
      <c r="F124" s="151"/>
    </row>
    <row r="125" spans="2:6" s="24" customFormat="1" x14ac:dyDescent="0.25">
      <c r="B125" s="60"/>
      <c r="C125" s="136"/>
      <c r="D125" s="1"/>
      <c r="E125" s="152"/>
      <c r="F125" s="151"/>
    </row>
    <row r="126" spans="2:6" s="24" customFormat="1" x14ac:dyDescent="0.25">
      <c r="B126" s="60"/>
      <c r="C126" s="136"/>
      <c r="D126" s="1"/>
      <c r="E126" s="152"/>
      <c r="F126" s="151"/>
    </row>
    <row r="127" spans="2:6" s="24" customFormat="1" x14ac:dyDescent="0.25">
      <c r="B127" s="60"/>
      <c r="C127" s="136"/>
      <c r="D127" s="1"/>
      <c r="E127" s="152"/>
      <c r="F127" s="151"/>
    </row>
    <row r="128" spans="2:6" s="24" customFormat="1" x14ac:dyDescent="0.25">
      <c r="B128" s="60"/>
      <c r="C128" s="136"/>
      <c r="D128" s="1"/>
      <c r="E128" s="138"/>
      <c r="F128" s="151"/>
    </row>
    <row r="129" spans="2:6" s="24" customFormat="1" x14ac:dyDescent="0.25">
      <c r="B129" s="61"/>
      <c r="C129" s="153"/>
      <c r="D129" s="1"/>
      <c r="E129" s="154"/>
      <c r="F129" s="155"/>
    </row>
    <row r="130" spans="2:6" s="24" customFormat="1" x14ac:dyDescent="0.25">
      <c r="B130" s="61"/>
      <c r="C130" s="153"/>
      <c r="D130" s="1"/>
      <c r="E130" s="154"/>
      <c r="F130" s="155"/>
    </row>
    <row r="131" spans="2:6" s="24" customFormat="1" x14ac:dyDescent="0.25">
      <c r="B131" s="61"/>
      <c r="C131" s="153"/>
      <c r="D131" s="1"/>
      <c r="E131" s="154"/>
      <c r="F131" s="155"/>
    </row>
    <row r="132" spans="2:6" s="24" customFormat="1" x14ac:dyDescent="0.25">
      <c r="B132" s="61"/>
      <c r="C132" s="153"/>
      <c r="D132" s="1"/>
      <c r="E132" s="154"/>
      <c r="F132" s="155"/>
    </row>
    <row r="133" spans="2:6" s="24" customFormat="1" x14ac:dyDescent="0.25">
      <c r="B133" s="61"/>
      <c r="C133" s="153"/>
      <c r="D133" s="1"/>
      <c r="E133" s="154"/>
      <c r="F133" s="155"/>
    </row>
    <row r="134" spans="2:6" s="24" customFormat="1" x14ac:dyDescent="0.25">
      <c r="B134" s="61"/>
      <c r="C134" s="153"/>
      <c r="D134" s="1"/>
      <c r="E134" s="154"/>
      <c r="F134" s="155"/>
    </row>
    <row r="135" spans="2:6" s="24" customFormat="1" x14ac:dyDescent="0.25">
      <c r="B135" s="61"/>
      <c r="C135" s="62"/>
      <c r="D135" s="62"/>
      <c r="E135" s="63"/>
      <c r="F135" s="64"/>
    </row>
    <row r="136" spans="2:6" s="24" customFormat="1" x14ac:dyDescent="0.25">
      <c r="B136" s="61"/>
      <c r="C136" s="62"/>
      <c r="D136" s="62"/>
      <c r="E136" s="63"/>
      <c r="F136" s="64"/>
    </row>
    <row r="137" spans="2:6" s="24" customFormat="1" x14ac:dyDescent="0.25">
      <c r="B137" s="61"/>
      <c r="C137" s="62"/>
      <c r="D137" s="62"/>
      <c r="E137" s="63"/>
      <c r="F137" s="64"/>
    </row>
    <row r="138" spans="2:6" s="24" customFormat="1" x14ac:dyDescent="0.25">
      <c r="B138" s="61"/>
      <c r="C138" s="62"/>
      <c r="D138" s="62"/>
      <c r="E138" s="63"/>
      <c r="F138" s="64"/>
    </row>
    <row r="139" spans="2:6" s="24" customFormat="1" x14ac:dyDescent="0.25">
      <c r="B139" s="61"/>
      <c r="C139" s="62"/>
      <c r="D139" s="62"/>
      <c r="E139" s="63"/>
      <c r="F139" s="64"/>
    </row>
    <row r="140" spans="2:6" s="24" customFormat="1" x14ac:dyDescent="0.25">
      <c r="B140" s="61"/>
      <c r="C140" s="62"/>
      <c r="D140" s="62"/>
      <c r="E140" s="63"/>
      <c r="F140" s="64"/>
    </row>
    <row r="141" spans="2:6" s="24" customFormat="1" x14ac:dyDescent="0.25">
      <c r="B141" s="61"/>
      <c r="C141" s="62"/>
      <c r="D141" s="62"/>
      <c r="E141" s="63"/>
      <c r="F141" s="64"/>
    </row>
    <row r="142" spans="2:6" s="24" customFormat="1" x14ac:dyDescent="0.25">
      <c r="B142" s="61"/>
      <c r="C142" s="62"/>
      <c r="D142" s="62"/>
      <c r="E142" s="63"/>
      <c r="F142" s="64"/>
    </row>
    <row r="143" spans="2:6" s="24" customFormat="1" x14ac:dyDescent="0.25">
      <c r="B143" s="61"/>
      <c r="C143" s="62"/>
      <c r="D143" s="62"/>
      <c r="E143" s="63"/>
      <c r="F143" s="64"/>
    </row>
    <row r="144" spans="2:6" s="24" customFormat="1" x14ac:dyDescent="0.25">
      <c r="B144" s="61"/>
      <c r="C144" s="62"/>
      <c r="D144" s="62"/>
      <c r="E144" s="63"/>
      <c r="F144" s="64"/>
    </row>
    <row r="145" spans="2:8" s="24" customFormat="1" x14ac:dyDescent="0.25">
      <c r="B145" s="61"/>
      <c r="C145" s="62"/>
      <c r="D145" s="62"/>
      <c r="E145" s="63"/>
      <c r="F145" s="64"/>
    </row>
    <row r="146" spans="2:8" s="24" customFormat="1" x14ac:dyDescent="0.25">
      <c r="B146" s="61"/>
      <c r="C146" s="62"/>
      <c r="D146" s="62"/>
      <c r="E146" s="63"/>
      <c r="F146" s="64"/>
    </row>
    <row r="147" spans="2:8" s="24" customFormat="1" x14ac:dyDescent="0.25">
      <c r="B147" s="61"/>
      <c r="C147" s="62"/>
      <c r="D147" s="62"/>
      <c r="E147" s="63"/>
      <c r="F147" s="64"/>
    </row>
    <row r="148" spans="2:8" s="24" customFormat="1" x14ac:dyDescent="0.25">
      <c r="B148" s="61"/>
      <c r="C148" s="62"/>
      <c r="D148" s="62"/>
      <c r="E148" s="63"/>
      <c r="F148" s="64"/>
    </row>
    <row r="149" spans="2:8" s="24" customFormat="1" x14ac:dyDescent="0.25">
      <c r="B149" s="61"/>
      <c r="C149" s="62"/>
      <c r="D149" s="62"/>
      <c r="E149" s="63"/>
      <c r="F149" s="64"/>
    </row>
    <row r="150" spans="2:8" s="24" customFormat="1" x14ac:dyDescent="0.25">
      <c r="B150" s="61"/>
      <c r="C150" s="62"/>
      <c r="D150" s="62"/>
      <c r="E150" s="63"/>
      <c r="F150" s="64"/>
    </row>
    <row r="151" spans="2:8" s="24" customFormat="1" x14ac:dyDescent="0.25">
      <c r="B151" s="61"/>
      <c r="C151" s="62"/>
      <c r="D151" s="62"/>
      <c r="E151" s="63"/>
      <c r="F151" s="64"/>
    </row>
    <row r="152" spans="2:8" s="24" customFormat="1" x14ac:dyDescent="0.25">
      <c r="B152" s="61"/>
      <c r="C152" s="62"/>
      <c r="D152" s="62"/>
      <c r="E152" s="63"/>
      <c r="F152" s="64"/>
    </row>
    <row r="153" spans="2:8" s="24" customFormat="1" x14ac:dyDescent="0.25">
      <c r="B153" s="61"/>
      <c r="C153" s="62"/>
      <c r="D153" s="62"/>
      <c r="E153" s="63"/>
      <c r="F153" s="64"/>
    </row>
    <row r="154" spans="2:8" s="24" customFormat="1" x14ac:dyDescent="0.25">
      <c r="B154" s="61"/>
      <c r="C154" s="62"/>
      <c r="D154" s="62"/>
      <c r="E154" s="63"/>
      <c r="F154" s="64"/>
    </row>
    <row r="155" spans="2:8" s="24" customFormat="1" x14ac:dyDescent="0.25">
      <c r="B155" s="61"/>
      <c r="C155" s="62"/>
      <c r="D155" s="62"/>
      <c r="E155" s="63"/>
      <c r="F155" s="64"/>
    </row>
    <row r="156" spans="2:8" s="24" customFormat="1" x14ac:dyDescent="0.25">
      <c r="B156" s="61"/>
      <c r="C156" s="62"/>
      <c r="D156" s="62"/>
      <c r="E156" s="63"/>
      <c r="F156" s="64"/>
    </row>
    <row r="157" spans="2:8" s="24" customFormat="1" x14ac:dyDescent="0.25">
      <c r="B157" s="61"/>
      <c r="C157" s="62"/>
      <c r="D157" s="62"/>
      <c r="E157" s="63"/>
      <c r="F157" s="64"/>
    </row>
    <row r="158" spans="2:8" s="24" customFormat="1" x14ac:dyDescent="0.25">
      <c r="B158" s="61"/>
      <c r="C158" s="62"/>
      <c r="D158" s="62"/>
      <c r="E158" s="63"/>
      <c r="F158" s="64"/>
    </row>
    <row r="159" spans="2:8" s="24" customFormat="1" x14ac:dyDescent="0.25">
      <c r="B159" s="61"/>
      <c r="C159" s="62"/>
      <c r="D159" s="62"/>
      <c r="E159" s="63"/>
      <c r="F159" s="64"/>
    </row>
    <row r="160" spans="2:8" s="24" customFormat="1" ht="13.8" thickBot="1" x14ac:dyDescent="0.3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8" thickBot="1" x14ac:dyDescent="0.3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M4"/>
  <sheetViews>
    <sheetView zoomScale="150" zoomScaleNormal="150" zoomScaleSheetLayoutView="70" workbookViewId="0">
      <pane xSplit="1" ySplit="1" topLeftCell="F2" activePane="bottomRight" state="frozen"/>
      <selection pane="topRight" activeCell="B1" sqref="B1"/>
      <selection pane="bottomLeft" activeCell="A6" sqref="A6"/>
      <selection pane="bottomRight" activeCell="G21" sqref="G21"/>
    </sheetView>
  </sheetViews>
  <sheetFormatPr defaultColWidth="11.44140625" defaultRowHeight="13.2" x14ac:dyDescent="0.25"/>
  <cols>
    <col min="1" max="1" width="13.44140625" style="216" customWidth="1"/>
    <col min="2" max="2" width="17.44140625" style="217" customWidth="1"/>
    <col min="3" max="3" width="12" style="218" customWidth="1"/>
    <col min="4" max="4" width="11.6640625" style="211" hidden="1" customWidth="1"/>
    <col min="5" max="5" width="26.44140625" style="217" customWidth="1"/>
    <col min="6" max="6" width="8.44140625" style="218" bestFit="1" customWidth="1"/>
    <col min="7" max="7" width="14.77734375" style="223" bestFit="1" customWidth="1"/>
    <col min="8" max="8" width="12.77734375" style="223" bestFit="1" customWidth="1"/>
    <col min="9" max="9" width="22.77734375" style="211" customWidth="1"/>
    <col min="10" max="10" width="18.5546875" style="211" bestFit="1" customWidth="1"/>
    <col min="11" max="11" width="15.88671875" style="219" bestFit="1" customWidth="1"/>
    <col min="12" max="12" width="15.33203125" style="211" bestFit="1" customWidth="1"/>
    <col min="13" max="13" width="20.5546875" style="211" bestFit="1" customWidth="1"/>
    <col min="14" max="16384" width="11.44140625" style="211"/>
  </cols>
  <sheetData>
    <row r="1" spans="1:13" x14ac:dyDescent="0.25">
      <c r="A1" s="26" t="s">
        <v>121</v>
      </c>
      <c r="B1" s="201" t="s">
        <v>0</v>
      </c>
      <c r="C1" s="202" t="s">
        <v>16</v>
      </c>
      <c r="D1" s="211" t="s">
        <v>116</v>
      </c>
      <c r="E1" s="201" t="s">
        <v>110</v>
      </c>
      <c r="F1" s="202" t="s">
        <v>111</v>
      </c>
      <c r="G1" s="222" t="s">
        <v>112</v>
      </c>
      <c r="H1" s="222" t="s">
        <v>113</v>
      </c>
      <c r="I1" s="202" t="s">
        <v>114</v>
      </c>
      <c r="J1" s="202" t="s">
        <v>115</v>
      </c>
      <c r="K1" s="205" t="s">
        <v>117</v>
      </c>
      <c r="L1" s="220" t="s">
        <v>122</v>
      </c>
      <c r="M1" s="220" t="s">
        <v>126</v>
      </c>
    </row>
    <row r="2" spans="1:13" s="210" customFormat="1" x14ac:dyDescent="0.25">
      <c r="A2" s="200">
        <v>44805</v>
      </c>
      <c r="B2" s="203" t="s">
        <v>44</v>
      </c>
      <c r="C2" s="204">
        <v>8</v>
      </c>
      <c r="E2" s="212" t="s">
        <v>129</v>
      </c>
      <c r="F2" s="213">
        <v>27</v>
      </c>
      <c r="G2" s="214">
        <v>0.375</v>
      </c>
      <c r="H2" s="214">
        <v>0.75</v>
      </c>
      <c r="I2" s="209" t="s">
        <v>130</v>
      </c>
      <c r="J2" s="209" t="s">
        <v>131</v>
      </c>
      <c r="K2" s="215" t="s">
        <v>117</v>
      </c>
      <c r="L2" s="210">
        <v>1</v>
      </c>
    </row>
    <row r="3" spans="1:13" x14ac:dyDescent="0.25">
      <c r="A3" s="200"/>
      <c r="B3" s="203"/>
      <c r="C3" s="204"/>
      <c r="D3" s="210"/>
      <c r="E3" s="212"/>
      <c r="F3" s="213"/>
      <c r="G3" s="214"/>
      <c r="H3" s="214"/>
      <c r="I3" s="226"/>
      <c r="J3" s="210"/>
      <c r="K3" s="215"/>
      <c r="L3" s="210"/>
      <c r="M3" s="210"/>
    </row>
    <row r="4" spans="1:13" x14ac:dyDescent="0.25">
      <c r="A4" s="200"/>
      <c r="B4" s="203"/>
      <c r="C4" s="204"/>
      <c r="D4" s="210"/>
      <c r="E4" s="212"/>
      <c r="F4" s="213"/>
      <c r="G4" s="214"/>
      <c r="H4" s="214"/>
      <c r="I4" s="226"/>
      <c r="J4" s="210"/>
      <c r="K4" s="215"/>
      <c r="L4" s="210"/>
      <c r="M4" s="210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configStatus!$A$1:$A$4</xm:f>
          </x14:formula1>
          <xm:sqref>K1:K1048576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C4"/>
  <sheetViews>
    <sheetView workbookViewId="0">
      <selection activeCell="F15" sqref="F15"/>
    </sheetView>
  </sheetViews>
  <sheetFormatPr defaultRowHeight="13.2" x14ac:dyDescent="0.25"/>
  <sheetData>
    <row r="1" spans="1:3" x14ac:dyDescent="0.25">
      <c r="A1" s="206" t="s">
        <v>117</v>
      </c>
    </row>
    <row r="2" spans="1:3" x14ac:dyDescent="0.25">
      <c r="A2" s="206" t="s">
        <v>118</v>
      </c>
    </row>
    <row r="3" spans="1:3" x14ac:dyDescent="0.25">
      <c r="A3" s="206" t="s">
        <v>123</v>
      </c>
    </row>
    <row r="4" spans="1:3" x14ac:dyDescent="0.25">
      <c r="A4" s="206" t="s">
        <v>120</v>
      </c>
      <c r="C4" s="221"/>
    </row>
  </sheetData>
  <dataValidations count="1">
    <dataValidation type="list" allowBlank="1" showInputMessage="1" showErrorMessage="1" sqref="A1:A4" xr:uid="{B4331DD1-BC45-4A92-BAB9-C800AAB46CEC}">
      <formula1>$A$1:$A$4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6640625" defaultRowHeight="13.2" x14ac:dyDescent="0.25"/>
  <cols>
    <col min="2" max="2" width="11.44140625" bestFit="1" customWidth="1"/>
    <col min="3" max="3" width="15.44140625" bestFit="1" customWidth="1"/>
    <col min="4" max="5" width="11.44140625" bestFit="1" customWidth="1"/>
    <col min="6" max="6" width="92.88671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Legendas de Agendamento</vt:lpstr>
      <vt:lpstr>Plano Diretor</vt:lpstr>
      <vt:lpstr>Agenda de Consultoria</vt:lpstr>
      <vt:lpstr>Relatório de Consultoria</vt:lpstr>
      <vt:lpstr>Agendamento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jean</cp:lastModifiedBy>
  <dcterms:created xsi:type="dcterms:W3CDTF">2006-01-12T22:39:30Z</dcterms:created>
  <dcterms:modified xsi:type="dcterms:W3CDTF">2022-11-07T12:07:28Z</dcterms:modified>
</cp:coreProperties>
</file>