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8F0170C5-CD60-4C5B-A45D-602E56DAA146}" xr6:coauthVersionLast="47" xr6:coauthVersionMax="47" xr10:uidLastSave="{00000000-0000-0000-0000-000000000000}"/>
  <bookViews>
    <workbookView xWindow="-108" yWindow="-108" windowWidth="23256" windowHeight="12576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Agendamento!$A$1:$C$2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</author>
    <author>tc={11C8FD98-9034-40FA-B598-3BC2BBA70B54}</author>
    <author>Rodrigo Azevedo Valillo</author>
  </authors>
  <commentList>
    <comment ref="CO6" authorId="0" shapeId="0" xr:uid="{C134CA27-FFC7-4078-9E25-326C39E1F361}">
      <text>
        <r>
          <rPr>
            <b/>
            <sz val="9"/>
            <color indexed="81"/>
            <rFont val="Segoe UI"/>
            <family val="2"/>
          </rPr>
          <t>jean:</t>
        </r>
        <r>
          <rPr>
            <sz val="9"/>
            <color indexed="81"/>
            <rFont val="Segoe UI"/>
            <family val="2"/>
          </rPr>
          <t xml:space="preserve">
não remover os braks</t>
        </r>
      </text>
    </comment>
    <comment ref="F7" authorId="0" shapeId="0" xr:uid="{945AEB38-3527-44E1-8F71-FF4480BCAF7E}">
      <text>
        <r>
          <rPr>
            <b/>
            <sz val="9"/>
            <color indexed="81"/>
            <rFont val="Segoe UI"/>
            <family val="2"/>
          </rPr>
          <t>inicio</t>
        </r>
      </text>
    </comment>
    <comment ref="CQ9" authorId="1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2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<sst xmlns="http://schemas.openxmlformats.org/spreadsheetml/2006/main" count="205" uniqueCount="143">
  <si>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</si>
  <si>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</si>
  <si>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</si>
  <si>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</si>
  <si>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</si>
  <si>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</si>
  <si>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</si>
  <si>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</si>
  <si>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</si>
  <si>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</si>
  <si>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</si>
  <si>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</si>
  <si>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</si>
  <si>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</si>
  <si>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</si>
  <si>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</si>
  <si>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</si>
  <si>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</si>
  <si>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</si>
  <si>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</si>
  <si>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</si>
  <si>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</si>
  <si>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</si>
  <si>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</si>
  <si>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</si>
  <si>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</si>
  <si>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</si>
  <si>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</si>
  <si>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</si>
  <si>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</si>
  <si>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</si>
  <si>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</si>
  <si>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</si>
  <si>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</si>
  <si>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</si>
  <si>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</si>
  <si>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</si>
  <si>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</si>
  <si>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</si>
  <si>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</si>
  <si>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</si>
  <si>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</si>
  <si>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</si>
  <si>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</si>
  <si>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</si>
  <si>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</si>
  <si>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</si>
  <si>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</si>
  <si>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</si>
  <si>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</si>
  <si>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</si>
  <si>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</si>
  <si>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</si>
  <si>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</si>
  <si>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</si>
  <si>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</si>
  <si>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</si>
  <si>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</si>
  <si>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</si>
  <si>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</si>
  <si>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</si>
  <si>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</si>
  <si>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</si>
  <si>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</si>
  <si>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</si>
  <si>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</si>
  <si>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</si>
  <si>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</si>
  <si>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</si>
  <si>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</si>
  <si>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</si>
  <si>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</si>
  <si>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</si>
  <si>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</si>
  <si>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</si>
  <si>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</si>
  <si>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</si>
  <si>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</si>
  <si>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</si>
  <si>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</si>
  <si>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</si>
  <si>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</si>
  <si>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</si>
  <si>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</si>
  <si>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</si>
  <si>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</si>
  <si>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</si>
  <si>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</si>
  <si>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</si>
  <si>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</si>
  <si>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</si>
  <si>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</si>
  <si>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</si>
  <si>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</si>
  <si>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</si>
  <si>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</si>
  <si>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</si>
  <si>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</si>
  <si>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</si>
  <si>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</si>
  <si>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</si>
  <si>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</si>
  <si>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</si>
  <si>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</si>
  <si>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</si>
  <si>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</si>
  <si>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</si>
  <si>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</si>
  <si>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</si>
  <si>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</si>
  <si>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</si>
  <si>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</si>
  <si>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</si>
  <si>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</si>
  <si>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</si>
  <si>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</si>
  <si>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</si>
  <si>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</si>
  <si>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</si>
  <si>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</si>
  <si>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</si>
  <si>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</si>
  <si>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</si>
  <si>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</si>
  <si>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</si>
  <si>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</si>
  <si>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</si>
  <si>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</si>
  <si>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</si>
  <si>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</si>
  <si>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</si>
  <si>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</si>
  <si>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>mês</t>
  </si>
  <si>
    <t>consultor</t>
  </si>
  <si>
    <t>horas</t>
  </si>
  <si>
    <t>dia</t>
  </si>
  <si>
    <t>atividade</t>
  </si>
  <si>
    <t>horas inicio</t>
  </si>
  <si>
    <t>horas fim</t>
  </si>
  <si>
    <t>id consultor</t>
  </si>
  <si>
    <t>hora</t>
  </si>
  <si>
    <t>existe</t>
  </si>
  <si>
    <t xml:space="preserve">Titulo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</si>
</sst>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6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17" fontId="35" fillId="2" borderId="0" xfId="0" applyNumberFormat="1" applyFont="1" applyFill="1" applyAlignment="1" applyProtection="1">
      <alignment horizontal="center" vertical="center"/>
      <protection locked="0"/>
    </xf>
    <xf numFmtId="168" fontId="35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right"/>
    </xf>
    <xf numFmtId="168" fontId="35" fillId="2" borderId="69" xfId="0" applyNumberFormat="1" applyFont="1" applyFill="1" applyBorder="1" applyAlignment="1" applyProtection="1">
      <alignment horizontal="center" vertical="center"/>
      <protection locked="0"/>
    </xf>
    <xf numFmtId="168" fontId="35" fillId="2" borderId="71" xfId="0" applyNumberFormat="1" applyFont="1" applyFill="1" applyBorder="1" applyAlignment="1" applyProtection="1">
      <alignment horizontal="center"/>
      <protection locked="0"/>
    </xf>
    <xf numFmtId="14" fontId="4" fillId="3" borderId="20" xfId="0" applyNumberFormat="1" applyFont="1" applyFill="1" applyBorder="1" applyAlignment="1" applyProtection="1">
      <alignment horizontal="center" vertical="center"/>
      <protection hidden="1"/>
    </xf>
    <xf numFmtId="0" fontId="35" fillId="2" borderId="69" xfId="0" applyFont="1" applyFill="1" applyBorder="1" applyAlignment="1" applyProtection="1">
      <alignment horizontal="center" vertical="center"/>
      <protection locked="0"/>
    </xf>
    <xf numFmtId="0" fontId="35" fillId="2" borderId="71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Alignment="1" applyProtection="1">
      <alignment horizontal="center"/>
      <protection locked="0"/>
    </xf>
    <xf numFmtId="0" fontId="35" fillId="2" borderId="69" xfId="0" applyFont="1" applyFill="1" applyBorder="1" applyAlignment="1" applyProtection="1">
      <alignment horizontal="center"/>
      <protection locked="0"/>
    </xf>
    <xf numFmtId="0" fontId="35" fillId="2" borderId="71" xfId="0" applyFont="1" applyFill="1" applyBorder="1" applyAlignment="1" applyProtection="1">
      <alignment horizontal="center"/>
      <protection locked="0"/>
    </xf>
    <xf numFmtId="168" fontId="35" fillId="2" borderId="71" xfId="0" applyNumberFormat="1" applyFont="1" applyFill="1" applyBorder="1" applyAlignment="1" applyProtection="1">
      <alignment horizontal="center"/>
      <protection hidden="1"/>
    </xf>
    <xf numFmtId="0" fontId="35" fillId="2" borderId="72" xfId="0" applyFont="1" applyFill="1" applyBorder="1" applyAlignment="1" applyProtection="1">
      <alignment horizontal="center"/>
      <protection locked="0"/>
    </xf>
    <xf numFmtId="49" fontId="35" fillId="2" borderId="7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90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theme="1"/>
        <family val="2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403860</xdr:colOff>
          <xdr:row>19</xdr:row>
          <xdr:rowOff>213360</xdr:rowOff>
        </xdr:from>
        <xdr:to>
          <xdr:col>95</xdr:col>
          <xdr:colOff>213360</xdr:colOff>
          <xdr:row>22</xdr:row>
          <xdr:rowOff>144780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2" insertRow="1" totalsRowShown="0" headerRowDxfId="35" dataDxfId="34">
  <autoFilter ref="A1:M2" xr:uid="{7117A141-E4A0-4639-95A6-FA69B16FB534}"/>
  <tableColumns count="13">
    <tableColumn id="1" xr3:uid="{FBBB854A-5433-4827-9F82-8471FD9818B4}" name="mês" dataDxfId="33"/>
    <tableColumn id="2" xr3:uid="{1C1B8F13-6F9D-45AE-B52F-F78C0D2F6010}" name="consultor" dataDxfId="32"/>
    <tableColumn id="3" xr3:uid="{89E1FD39-EFDB-4245-9CFD-5E621A6A03CB}" name="hora" dataDxfId="31"/>
    <tableColumn id="4" xr3:uid="{EE917D55-8296-4DF8-916C-3C6F2605B6E0}" name="Coluna1" dataDxfId="30"/>
    <tableColumn id="5" xr3:uid="{151D4713-B3C3-47D0-98A3-F6F391D00FF0}" name="TITULO REUNIAO" dataDxfId="29"/>
    <tableColumn id="6" xr3:uid="{A28B0ECC-5A29-4645-A874-72A3B516A56F}" name="dia" dataDxfId="28"/>
    <tableColumn id="7" xr3:uid="{59C36A55-C74E-4F59-870F-22583A1BC879}" name="hora inicio" dataDxfId="27"/>
    <tableColumn id="8" xr3:uid="{54650340-83A8-499A-B7D2-29B7D4D20415}" name="hora fim" dataDxfId="26"/>
    <tableColumn id="9" xr3:uid="{702814EA-CF00-4086-A821-FB7F3CDEFE28}" name="DataInicio" dataDxfId="25"/>
    <tableColumn id="10" xr3:uid="{04241480-D2AB-4242-90F1-06922EBEC690}" name="DataFim" dataDxfId="24"/>
    <tableColumn id="11" xr3:uid="{A1F1D1B1-4108-42D1-AD21-AE661A7120E5}" name="Status" dataDxfId="23"/>
    <tableColumn id="12" xr3:uid="{E8CB5466-9610-47C2-8981-95E383C542E9}" name="Idconsultor" dataDxfId="22"/>
    <tableColumn id="13" xr3:uid="{24463C44-B62A-46D5-9332-C7B2F48F286E}" name="atividade" dataDxfId="2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20" dataDxfId="19" tableBorderDxfId="18">
  <autoFilter ref="A1:F2" xr:uid="{6469E286-1C52-440D-81AC-C34BF123FE25}"/>
  <tableColumns count="6">
    <tableColumn id="1" xr3:uid="{4BAF9795-F01C-4049-A367-11EEA0A6B855}" name="Consultor" dataDxfId="17"/>
    <tableColumn id="6" xr3:uid="{6E763034-A242-4433-B390-1B33A7B8B8EA}" name="Mês" dataDxfId="16"/>
    <tableColumn id="2" xr3:uid="{199EE5BF-F488-440B-8B31-4B67F9868326}" name="Dia" dataDxfId="15"/>
    <tableColumn id="7" xr3:uid="{27C4AAB4-757F-444C-A2E5-5EFC76CE7F66}" name="Hora" dataDxfId="14"/>
    <tableColumn id="3" xr3:uid="{FE8DF4C5-864B-4254-8B17-2B1B9144A8AB}" name="hora inicio" dataDxfId="13"/>
    <tableColumn id="4" xr3:uid="{B6556A26-59BE-49BC-B4FF-CCA3CB1E8DFC}" name="hora fim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4A4FB3-E756-41D1-A2EC-7D6D04A94AD6}" name="tabelaConfig" displayName="tabelaConfig" ref="F1:O2" insertRow="1" totalsRowShown="0" headerRowDxfId="11" dataDxfId="10">
  <autoFilter ref="F1:O2" xr:uid="{AF4A4FB3-E756-41D1-A2EC-7D6D04A94AD6}"/>
  <tableColumns count="10">
    <tableColumn id="1" xr3:uid="{8B11724D-FA76-4266-BDC7-D4348CC95515}" name="mês" dataDxfId="9"/>
    <tableColumn id="2" xr3:uid="{9ECE126F-B5CA-49A4-AB01-B16D8F618309}" name="consultor" dataDxfId="8"/>
    <tableColumn id="3" xr3:uid="{8B2DB6FE-62CD-406B-B20A-10BB9CAE6BA5}" name="horas" dataDxfId="7"/>
    <tableColumn id="4" xr3:uid="{4CD4FC93-8F6A-4D0A-96EC-388E08D1664F}" name="dia" dataDxfId="6"/>
    <tableColumn id="5" xr3:uid="{BE3AFC6E-298D-4CD7-8AE5-5AE76E015C13}" name="atividade" dataDxfId="5"/>
    <tableColumn id="6" xr3:uid="{AB8C7B57-927A-4F31-92E0-287F97AD39C8}" name="horas inicio" dataDxfId="4"/>
    <tableColumn id="7" xr3:uid="{AFD2015D-C915-4094-A8F7-11EB339F5E3C}" name="horas fim" dataDxfId="3"/>
    <tableColumn id="8" xr3:uid="{6D38F735-5D5B-4961-A252-2E25847358D7}" name="id consultor" dataDxfId="2"/>
    <tableColumn id="9" xr3:uid="{1C6673EA-8457-4800-90C6-1A62E7FD9F44}" name="existe" dataDxfId="1"/>
    <tableColumn id="10" xr3:uid="{071049A3-D239-4DAB-9320-A3B3EC9687D9}" name="Titulo 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4" zoomScale="110" zoomScaleNormal="110" workbookViewId="0">
      <selection activeCell="G6" sqref="G6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7" t="s">
        <v>107</v>
      </c>
    </row>
    <row r="4" spans="1:3" x14ac:dyDescent="0.25">
      <c r="A4" s="239" t="s">
        <v>68</v>
      </c>
      <c r="B4" s="179" t="s">
        <v>63</v>
      </c>
      <c r="C4" s="179" t="s">
        <v>64</v>
      </c>
    </row>
    <row r="5" spans="1:3" x14ac:dyDescent="0.25">
      <c r="A5" s="239"/>
      <c r="B5" s="176" t="s">
        <v>47</v>
      </c>
      <c r="C5" s="176" t="s">
        <v>65</v>
      </c>
    </row>
    <row r="6" spans="1:3" x14ac:dyDescent="0.25">
      <c r="A6" s="239" t="s">
        <v>69</v>
      </c>
      <c r="B6" s="176" t="s">
        <v>70</v>
      </c>
      <c r="C6" s="176" t="s">
        <v>78</v>
      </c>
    </row>
    <row r="7" spans="1:3" x14ac:dyDescent="0.25">
      <c r="A7" s="239"/>
      <c r="B7" s="176" t="s">
        <v>71</v>
      </c>
      <c r="C7" s="176" t="s">
        <v>79</v>
      </c>
    </row>
    <row r="8" spans="1:3" x14ac:dyDescent="0.25">
      <c r="A8" s="239"/>
      <c r="B8" s="204" t="s">
        <v>72</v>
      </c>
      <c r="C8" s="179" t="s">
        <v>80</v>
      </c>
    </row>
    <row r="9" spans="1:3" x14ac:dyDescent="0.25">
      <c r="A9" s="239"/>
      <c r="B9" s="176" t="s">
        <v>73</v>
      </c>
      <c r="C9" s="176" t="s">
        <v>81</v>
      </c>
    </row>
    <row r="10" spans="1:3" x14ac:dyDescent="0.25">
      <c r="A10" s="239"/>
      <c r="B10" s="176" t="s">
        <v>74</v>
      </c>
      <c r="C10" s="176" t="s">
        <v>82</v>
      </c>
    </row>
    <row r="11" spans="1:3" x14ac:dyDescent="0.25">
      <c r="A11" s="239"/>
      <c r="B11" s="176" t="s">
        <v>75</v>
      </c>
      <c r="C11" s="176" t="s">
        <v>83</v>
      </c>
    </row>
    <row r="12" spans="1:3" x14ac:dyDescent="0.25">
      <c r="A12" s="239"/>
      <c r="B12" s="176" t="s">
        <v>77</v>
      </c>
      <c r="C12" s="176" t="s">
        <v>84</v>
      </c>
    </row>
    <row r="13" spans="1:3" x14ac:dyDescent="0.25">
      <c r="A13" s="239"/>
      <c r="B13" s="176" t="s">
        <v>76</v>
      </c>
      <c r="C13" s="176" t="s">
        <v>85</v>
      </c>
    </row>
    <row r="14" spans="1:3" x14ac:dyDescent="0.25">
      <c r="A14" s="192" t="s">
        <v>90</v>
      </c>
      <c r="B14" s="240">
        <f>'Plano Diretor'!B2</f>
        <v>11111</v>
      </c>
      <c r="C14" s="240"/>
    </row>
    <row r="15" spans="1:3" x14ac:dyDescent="0.25">
      <c r="A15" s="192" t="s">
        <v>90</v>
      </c>
      <c r="B15" s="240" t="str">
        <f>'Plano Diretor'!B4</f>
        <v>CLARO BRASIL</v>
      </c>
      <c r="C15" s="240"/>
    </row>
    <row r="17" spans="1:6" x14ac:dyDescent="0.25">
      <c r="A17" s="238" t="s">
        <v>91</v>
      </c>
      <c r="B17" s="238"/>
      <c r="C17" s="238"/>
      <c r="D17" s="238"/>
    </row>
    <row r="18" spans="1:6" x14ac:dyDescent="0.25">
      <c r="A18" s="216" t="s">
        <v>92</v>
      </c>
      <c r="B18" s="217">
        <v>0.375</v>
      </c>
      <c r="C18" s="217">
        <v>0.75</v>
      </c>
      <c r="D18" s="178">
        <v>8</v>
      </c>
      <c r="E18" t="s">
        <v>95</v>
      </c>
    </row>
    <row r="19" spans="1:6" x14ac:dyDescent="0.25">
      <c r="A19" s="178" t="s">
        <v>93</v>
      </c>
      <c r="B19" s="180">
        <v>0.33333333333333331</v>
      </c>
      <c r="C19" s="180">
        <v>0.5</v>
      </c>
      <c r="D19" s="195" t="s">
        <v>121</v>
      </c>
    </row>
    <row r="20" spans="1:6" x14ac:dyDescent="0.25">
      <c r="A20" s="178" t="s">
        <v>94</v>
      </c>
      <c r="B20" s="180">
        <v>0.54166666666666663</v>
      </c>
      <c r="C20" s="180">
        <v>0.70833333333333337</v>
      </c>
      <c r="D20" s="195" t="s">
        <v>123</v>
      </c>
    </row>
    <row r="22" spans="1:6" x14ac:dyDescent="0.25">
      <c r="A22" s="238" t="s">
        <v>106</v>
      </c>
      <c r="B22" s="238"/>
      <c r="C22" s="238"/>
    </row>
    <row r="23" spans="1:6" x14ac:dyDescent="0.25">
      <c r="A23" s="178" t="s">
        <v>44</v>
      </c>
      <c r="B23" s="193" t="s">
        <v>98</v>
      </c>
      <c r="C23" s="215" t="s">
        <v>124</v>
      </c>
      <c r="E23" s="194" t="s">
        <v>105</v>
      </c>
    </row>
    <row r="24" spans="1:6" x14ac:dyDescent="0.25">
      <c r="A24" s="178" t="s">
        <v>99</v>
      </c>
      <c r="B24" s="193" t="s">
        <v>102</v>
      </c>
      <c r="C24" s="215" t="s">
        <v>124</v>
      </c>
    </row>
    <row r="25" spans="1:6" x14ac:dyDescent="0.25">
      <c r="A25" s="195" t="s">
        <v>100</v>
      </c>
      <c r="B25" s="193" t="s">
        <v>103</v>
      </c>
      <c r="C25" s="215" t="s">
        <v>124</v>
      </c>
    </row>
    <row r="26" spans="1:6" x14ac:dyDescent="0.25">
      <c r="A26" s="195" t="s">
        <v>101</v>
      </c>
      <c r="B26" s="193" t="s">
        <v>104</v>
      </c>
      <c r="C26" s="215" t="s">
        <v>124</v>
      </c>
      <c r="F26" s="223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1">
        <v>11111</v>
      </c>
      <c r="C2" s="274" t="s">
        <v>86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66" t="s">
        <v>29</v>
      </c>
      <c r="AP2" s="266"/>
      <c r="AQ2" s="266"/>
      <c r="AR2" s="266"/>
      <c r="AS2" s="266"/>
      <c r="AT2" s="267"/>
      <c r="AU2" s="263">
        <v>44832</v>
      </c>
      <c r="AV2" s="264"/>
      <c r="AW2" s="264"/>
      <c r="AX2" s="264"/>
      <c r="AY2" s="264"/>
      <c r="AZ2" s="264"/>
      <c r="BA2" s="264"/>
      <c r="BB2" s="264"/>
      <c r="BC2" s="265"/>
      <c r="BD2" s="17"/>
    </row>
    <row r="3" spans="1:57" ht="12" customHeight="1" thickBot="1" x14ac:dyDescent="0.3">
      <c r="A3" s="16"/>
      <c r="B3" s="172" t="s">
        <v>72</v>
      </c>
      <c r="C3" s="276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3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301" t="s">
        <v>88</v>
      </c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72" t="s">
        <v>37</v>
      </c>
      <c r="AP4" s="272"/>
      <c r="AQ4" s="272"/>
      <c r="AR4" s="272"/>
      <c r="AS4" s="272"/>
      <c r="AT4" s="273"/>
      <c r="AU4" s="298">
        <v>44832</v>
      </c>
      <c r="AV4" s="299"/>
      <c r="AW4" s="299"/>
      <c r="AX4" s="299"/>
      <c r="AY4" s="299"/>
      <c r="AZ4" s="299"/>
      <c r="BA4" s="299"/>
      <c r="BB4" s="299"/>
      <c r="BC4" s="300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71">
        <v>9</v>
      </c>
      <c r="E6" s="271"/>
      <c r="F6" s="271"/>
      <c r="G6" s="271"/>
      <c r="H6" s="271">
        <f>IF(D6=12,1,D6+1)</f>
        <v>10</v>
      </c>
      <c r="I6" s="271"/>
      <c r="J6" s="271"/>
      <c r="K6" s="271"/>
      <c r="L6" s="271">
        <f>IF(H6=12,1,H6+1)</f>
        <v>11</v>
      </c>
      <c r="M6" s="271"/>
      <c r="N6" s="271"/>
      <c r="O6" s="271"/>
      <c r="P6" s="271">
        <f>IF(L6=12,1,L6+1)</f>
        <v>12</v>
      </c>
      <c r="Q6" s="271"/>
      <c r="R6" s="271"/>
      <c r="S6" s="271"/>
      <c r="T6" s="271">
        <f>IF(P6=12,1,P6+1)</f>
        <v>1</v>
      </c>
      <c r="U6" s="271"/>
      <c r="V6" s="271"/>
      <c r="W6" s="271"/>
      <c r="X6" s="271">
        <f>IF(T6=12,1,T6+1)</f>
        <v>2</v>
      </c>
      <c r="Y6" s="271"/>
      <c r="Z6" s="271"/>
      <c r="AA6" s="271"/>
      <c r="AB6" s="271">
        <f>IF(X6=12,1,X6+1)</f>
        <v>3</v>
      </c>
      <c r="AC6" s="271"/>
      <c r="AD6" s="271"/>
      <c r="AE6" s="271"/>
      <c r="AF6" s="271">
        <f>IF(AB6=12,1,AB6+1)</f>
        <v>4</v>
      </c>
      <c r="AG6" s="271"/>
      <c r="AH6" s="271"/>
      <c r="AI6" s="271"/>
      <c r="AJ6" s="271">
        <f>IF(AF6=12,1,AF6+1)</f>
        <v>5</v>
      </c>
      <c r="AK6" s="271"/>
      <c r="AL6" s="271"/>
      <c r="AM6" s="271"/>
      <c r="AN6" s="271">
        <f>IF(AJ6=12,1,AJ6+1)</f>
        <v>6</v>
      </c>
      <c r="AO6" s="271"/>
      <c r="AP6" s="271"/>
      <c r="AQ6" s="271"/>
      <c r="AR6" s="271">
        <f>IF(AN6=12,1,AN6+1)</f>
        <v>7</v>
      </c>
      <c r="AS6" s="271"/>
      <c r="AT6" s="271"/>
      <c r="AU6" s="271"/>
      <c r="AV6" s="271">
        <f>IF(AR6=12,1,AR6+1)</f>
        <v>8</v>
      </c>
      <c r="AW6" s="271"/>
      <c r="AX6" s="271"/>
      <c r="AY6" s="271"/>
      <c r="AZ6" s="271">
        <f>IF(AR6=12,1,AR6+1)</f>
        <v>8</v>
      </c>
      <c r="BA6" s="271"/>
      <c r="BB6" s="271"/>
      <c r="BC6" s="271"/>
      <c r="BD6" s="17"/>
    </row>
    <row r="7" spans="1:57" ht="21" customHeight="1" x14ac:dyDescent="0.25">
      <c r="A7" s="16"/>
      <c r="B7" s="253" t="s">
        <v>1</v>
      </c>
      <c r="C7" s="261" t="s">
        <v>26</v>
      </c>
      <c r="D7" s="268">
        <v>1</v>
      </c>
      <c r="E7" s="269"/>
      <c r="F7" s="269"/>
      <c r="G7" s="270"/>
      <c r="H7" s="268" t="str">
        <f>VLOOKUP(H6,$E$40:$F$51,2,FALSE)</f>
        <v>Outubro</v>
      </c>
      <c r="I7" s="269"/>
      <c r="J7" s="269"/>
      <c r="K7" s="270"/>
      <c r="L7" s="268" t="str">
        <f>VLOOKUP(L6,$E$40:$F$51,2,FALSE)</f>
        <v>Novembro</v>
      </c>
      <c r="M7" s="269"/>
      <c r="N7" s="269"/>
      <c r="O7" s="270"/>
      <c r="P7" s="268" t="str">
        <f>VLOOKUP(P6,$E$40:$F$51,2,FALSE)</f>
        <v>Dezembro</v>
      </c>
      <c r="Q7" s="269"/>
      <c r="R7" s="269"/>
      <c r="S7" s="270"/>
      <c r="T7" s="268" t="str">
        <f>VLOOKUP(T6,$E$40:$F$51,2,FALSE)</f>
        <v>Janeiro</v>
      </c>
      <c r="U7" s="269"/>
      <c r="V7" s="269"/>
      <c r="W7" s="270"/>
      <c r="X7" s="268" t="str">
        <f>VLOOKUP(X6,$E$40:$F$51,2,FALSE)</f>
        <v>Fevereiro</v>
      </c>
      <c r="Y7" s="269"/>
      <c r="Z7" s="269"/>
      <c r="AA7" s="270"/>
      <c r="AB7" s="268" t="str">
        <f>VLOOKUP(AB6,$E$40:$F$51,2,FALSE)</f>
        <v>Março</v>
      </c>
      <c r="AC7" s="269"/>
      <c r="AD7" s="269"/>
      <c r="AE7" s="270"/>
      <c r="AF7" s="268" t="str">
        <f>VLOOKUP(AF6,$E$40:$F$51,2,FALSE)</f>
        <v>Abril</v>
      </c>
      <c r="AG7" s="269"/>
      <c r="AH7" s="269"/>
      <c r="AI7" s="270"/>
      <c r="AJ7" s="294" t="str">
        <f>VLOOKUP(AJ6,$E$40:$F$51,2,FALSE)</f>
        <v>Maio</v>
      </c>
      <c r="AK7" s="269"/>
      <c r="AL7" s="269"/>
      <c r="AM7" s="295"/>
      <c r="AN7" s="268" t="str">
        <f>VLOOKUP(AN6,$E$40:$F$51,2,FALSE)</f>
        <v>Junho</v>
      </c>
      <c r="AO7" s="269"/>
      <c r="AP7" s="269"/>
      <c r="AQ7" s="270"/>
      <c r="AR7" s="268" t="str">
        <f>VLOOKUP(AR6,$E$40:$F$51,2,FALSE)</f>
        <v>Julho</v>
      </c>
      <c r="AS7" s="269"/>
      <c r="AT7" s="269"/>
      <c r="AU7" s="270"/>
      <c r="AV7" s="278" t="s">
        <v>10</v>
      </c>
      <c r="AW7" s="269"/>
      <c r="AX7" s="269"/>
      <c r="AY7" s="270"/>
      <c r="AZ7" s="293" t="s">
        <v>14</v>
      </c>
      <c r="BA7" s="269"/>
      <c r="BB7" s="269"/>
      <c r="BC7" s="270"/>
      <c r="BD7" s="18"/>
    </row>
    <row r="8" spans="1:57" ht="16.5" customHeight="1" thickBot="1" x14ac:dyDescent="0.3">
      <c r="A8" s="16"/>
      <c r="B8" s="254"/>
      <c r="C8" s="262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5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5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5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5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5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5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5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5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5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5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5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3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8" t="s">
        <v>16</v>
      </c>
      <c r="E23" s="258"/>
      <c r="F23" s="258"/>
      <c r="G23" s="258"/>
      <c r="H23" s="258" t="s">
        <v>22</v>
      </c>
      <c r="I23" s="258"/>
      <c r="J23" s="258"/>
      <c r="K23" s="258"/>
      <c r="BD23" s="17"/>
    </row>
    <row r="24" spans="1:56" ht="14.25" customHeight="1" thickBot="1" x14ac:dyDescent="0.3">
      <c r="A24" s="16"/>
      <c r="B24" s="259" t="s">
        <v>30</v>
      </c>
      <c r="C24" s="260"/>
      <c r="D24" s="247">
        <f>IF('Agenda de Consultoria'!R39=0,"",'Agenda de Consultoria'!R39)</f>
        <v>224</v>
      </c>
      <c r="E24" s="247"/>
      <c r="F24" s="247"/>
      <c r="G24" s="247"/>
      <c r="H24" s="247">
        <f t="shared" ref="H24:H31" si="0">IF(ISERROR(D24/8),"",D24/8)</f>
        <v>28</v>
      </c>
      <c r="I24" s="247"/>
      <c r="J24" s="247"/>
      <c r="K24" s="250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3">
      <c r="A25" s="16"/>
      <c r="B25" s="256" t="s">
        <v>23</v>
      </c>
      <c r="C25" s="257"/>
      <c r="D25" s="248" t="str">
        <f>IF(SUM(D26:G30)=0,"",SUM(D26:G30))</f>
        <v/>
      </c>
      <c r="E25" s="248"/>
      <c r="F25" s="248"/>
      <c r="G25" s="248"/>
      <c r="H25" s="248" t="str">
        <f t="shared" si="0"/>
        <v/>
      </c>
      <c r="I25" s="248"/>
      <c r="J25" s="248"/>
      <c r="K25" s="249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52" t="str">
        <f>IF(SUMIF('Relatório de Consultoria'!$C$5:$C$161,C26,'Relatório de Consultoria'!$D$5:$D$161)=0,"",SUMIF('Relatório de Consultoria'!$C$5:$C$161,C26,'Relatório de Consultoria'!$D$5:$D$161))</f>
        <v/>
      </c>
      <c r="E26" s="252"/>
      <c r="F26" s="252"/>
      <c r="G26" s="252"/>
      <c r="H26" s="252" t="str">
        <f t="shared" si="0"/>
        <v/>
      </c>
      <c r="I26" s="252"/>
      <c r="J26" s="252"/>
      <c r="K26" s="255"/>
      <c r="M26" s="291" t="s">
        <v>27</v>
      </c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291"/>
      <c r="AA26" s="291"/>
      <c r="AB26" s="291"/>
      <c r="AC26" s="291"/>
      <c r="AD26" s="291"/>
      <c r="AE26" s="291"/>
      <c r="AF26" s="291"/>
      <c r="AG26" s="291"/>
      <c r="AH26" s="291"/>
      <c r="AI26" s="291"/>
      <c r="AJ26" s="291"/>
      <c r="AK26" s="291"/>
      <c r="AL26" s="291"/>
      <c r="AM26" s="291"/>
      <c r="AN26" s="291"/>
      <c r="AO26" s="291"/>
      <c r="AP26" s="291"/>
      <c r="AQ26" s="291"/>
      <c r="AR26" s="291"/>
      <c r="AS26" s="291"/>
      <c r="AT26" s="291"/>
      <c r="AU26" s="291"/>
      <c r="AV26" s="291"/>
      <c r="AW26" s="291"/>
      <c r="AX26" s="291"/>
      <c r="AY26" s="291"/>
      <c r="AZ26" s="291"/>
      <c r="BA26" s="291"/>
      <c r="BB26" s="291"/>
      <c r="BC26" s="291"/>
      <c r="BD26" s="17"/>
    </row>
    <row r="27" spans="1:56" ht="14.25" customHeight="1" thickBot="1" x14ac:dyDescent="0.3">
      <c r="A27" s="16"/>
      <c r="B27" s="9"/>
      <c r="C27" s="69" t="s">
        <v>99</v>
      </c>
      <c r="D27" s="252" t="str">
        <f>IF(SUMIF('Relatório de Consultoria'!$C$5:$C$161,C27,'Relatório de Consultoria'!$D$5:$D$161)=0,"",SUMIF('Relatório de Consultoria'!$C$5:$C$161,C27,'Relatório de Consultoria'!$D$5:$D$161))</f>
        <v/>
      </c>
      <c r="E27" s="252"/>
      <c r="F27" s="252"/>
      <c r="G27" s="252"/>
      <c r="H27" s="252" t="str">
        <f t="shared" si="0"/>
        <v/>
      </c>
      <c r="I27" s="252"/>
      <c r="J27" s="252"/>
      <c r="K27" s="255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  <c r="AG27" s="292"/>
      <c r="AH27" s="292"/>
      <c r="AI27" s="292"/>
      <c r="AJ27" s="292"/>
      <c r="AK27" s="292"/>
      <c r="AL27" s="292"/>
      <c r="AM27" s="292"/>
      <c r="AN27" s="292"/>
      <c r="AO27" s="292"/>
      <c r="AP27" s="292"/>
      <c r="AQ27" s="292"/>
      <c r="AR27" s="292"/>
      <c r="AS27" s="292"/>
      <c r="AT27" s="292"/>
      <c r="AU27" s="292"/>
      <c r="AV27" s="292"/>
      <c r="AW27" s="292"/>
      <c r="AX27" s="292"/>
      <c r="AY27" s="292"/>
      <c r="AZ27" s="292"/>
      <c r="BA27" s="292"/>
      <c r="BB27" s="292"/>
      <c r="BC27" s="292"/>
      <c r="BD27" s="17"/>
    </row>
    <row r="28" spans="1:56" ht="14.25" customHeight="1" x14ac:dyDescent="0.25">
      <c r="A28" s="16"/>
      <c r="B28" s="9"/>
      <c r="C28" s="69" t="s">
        <v>100</v>
      </c>
      <c r="D28" s="252" t="str">
        <f>IF(SUMIF('Relatório de Consultoria'!$C$5:$C$161,C28,'Relatório de Consultoria'!$D$5:$D$161)=0,"",SUMIF('Relatório de Consultoria'!$C$5:$C$161,C28,'Relatório de Consultoria'!$D$5:$D$161))</f>
        <v/>
      </c>
      <c r="E28" s="252"/>
      <c r="F28" s="252"/>
      <c r="G28" s="252"/>
      <c r="H28" s="252" t="str">
        <f t="shared" si="0"/>
        <v/>
      </c>
      <c r="I28" s="252"/>
      <c r="J28" s="252"/>
      <c r="K28" s="255"/>
      <c r="M28" s="282"/>
      <c r="N28" s="283"/>
      <c r="O28" s="283"/>
      <c r="P28" s="283"/>
      <c r="Q28" s="283"/>
      <c r="R28" s="283"/>
      <c r="S28" s="283"/>
      <c r="T28" s="283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4"/>
      <c r="BD28" s="17"/>
    </row>
    <row r="29" spans="1:56" ht="14.25" customHeight="1" x14ac:dyDescent="0.25">
      <c r="A29" s="16"/>
      <c r="B29" s="10"/>
      <c r="C29" s="69" t="s">
        <v>101</v>
      </c>
      <c r="D29" s="252" t="str">
        <f>IF(SUMIF('Relatório de Consultoria'!$C$5:$C$161,C29,'Relatório de Consultoria'!$D$5:$D$161)=0,"",SUMIF('Relatório de Consultoria'!$C$5:$C$161,C29,'Relatório de Consultoria'!$D$5:$D$161))</f>
        <v/>
      </c>
      <c r="E29" s="252"/>
      <c r="F29" s="252"/>
      <c r="G29" s="252"/>
      <c r="H29" s="252" t="str">
        <f t="shared" si="0"/>
        <v/>
      </c>
      <c r="I29" s="252"/>
      <c r="J29" s="252"/>
      <c r="K29" s="255"/>
      <c r="M29" s="285"/>
      <c r="N29" s="286"/>
      <c r="O29" s="286"/>
      <c r="P29" s="286"/>
      <c r="Q29" s="286"/>
      <c r="R29" s="286"/>
      <c r="S29" s="286"/>
      <c r="T29" s="286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86"/>
      <c r="AF29" s="286"/>
      <c r="AG29" s="286"/>
      <c r="AH29" s="286"/>
      <c r="AI29" s="286"/>
      <c r="AJ29" s="286"/>
      <c r="AK29" s="286"/>
      <c r="AL29" s="286"/>
      <c r="AM29" s="286"/>
      <c r="AN29" s="286"/>
      <c r="AO29" s="286"/>
      <c r="AP29" s="286"/>
      <c r="AQ29" s="286"/>
      <c r="AR29" s="286"/>
      <c r="AS29" s="286"/>
      <c r="AT29" s="286"/>
      <c r="AU29" s="286"/>
      <c r="AV29" s="286"/>
      <c r="AW29" s="286"/>
      <c r="AX29" s="286"/>
      <c r="AY29" s="286"/>
      <c r="AZ29" s="286"/>
      <c r="BA29" s="286"/>
      <c r="BB29" s="286"/>
      <c r="BC29" s="287"/>
      <c r="BD29" s="17"/>
    </row>
    <row r="30" spans="1:56" ht="14.25" customHeight="1" thickBot="1" x14ac:dyDescent="0.3">
      <c r="A30" s="16"/>
      <c r="B30" s="11"/>
      <c r="C30" s="70"/>
      <c r="D30" s="251" t="str">
        <f>IF(SUMIF('Relatório de Consultoria'!$C$5:$C$161,C30,'Relatório de Consultoria'!$D$5:$D$161)=0,"",SUMIF('Relatório de Consultoria'!$C$5:$C$161,C30,'Relatório de Consultoria'!$D$5:$D$161))</f>
        <v/>
      </c>
      <c r="E30" s="251"/>
      <c r="F30" s="251"/>
      <c r="G30" s="251"/>
      <c r="H30" s="252" t="str">
        <f t="shared" si="0"/>
        <v/>
      </c>
      <c r="I30" s="252"/>
      <c r="J30" s="252"/>
      <c r="K30" s="255"/>
      <c r="M30" s="285"/>
      <c r="N30" s="286"/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6"/>
      <c r="AB30" s="286"/>
      <c r="AC30" s="286"/>
      <c r="AD30" s="286"/>
      <c r="AE30" s="286"/>
      <c r="AF30" s="286"/>
      <c r="AG30" s="286"/>
      <c r="AH30" s="286"/>
      <c r="AI30" s="286"/>
      <c r="AJ30" s="286"/>
      <c r="AK30" s="286"/>
      <c r="AL30" s="286"/>
      <c r="AM30" s="286"/>
      <c r="AN30" s="286"/>
      <c r="AO30" s="286"/>
      <c r="AP30" s="286"/>
      <c r="AQ30" s="286"/>
      <c r="AR30" s="286"/>
      <c r="AS30" s="286"/>
      <c r="AT30" s="286"/>
      <c r="AU30" s="286"/>
      <c r="AV30" s="286"/>
      <c r="AW30" s="286"/>
      <c r="AX30" s="286"/>
      <c r="AY30" s="286"/>
      <c r="AZ30" s="286"/>
      <c r="BA30" s="286"/>
      <c r="BB30" s="286"/>
      <c r="BC30" s="287"/>
      <c r="BD30" s="17"/>
    </row>
    <row r="31" spans="1:56" ht="14.25" customHeight="1" thickBot="1" x14ac:dyDescent="0.3">
      <c r="A31" s="16"/>
      <c r="B31" s="241" t="s">
        <v>24</v>
      </c>
      <c r="C31" s="242"/>
      <c r="D31" s="243" t="str">
        <f>IF(ISERROR(D24-D25),"",D24-D25)</f>
        <v/>
      </c>
      <c r="E31" s="243"/>
      <c r="F31" s="243"/>
      <c r="G31" s="243"/>
      <c r="H31" s="243" t="str">
        <f t="shared" si="0"/>
        <v/>
      </c>
      <c r="I31" s="243"/>
      <c r="J31" s="243"/>
      <c r="K31" s="244"/>
      <c r="M31" s="285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6"/>
      <c r="AW31" s="286"/>
      <c r="AX31" s="286"/>
      <c r="AY31" s="286"/>
      <c r="AZ31" s="286"/>
      <c r="BA31" s="286"/>
      <c r="BB31" s="286"/>
      <c r="BC31" s="287"/>
      <c r="BD31" s="17"/>
    </row>
    <row r="32" spans="1:56" ht="14.25" customHeight="1" thickBot="1" x14ac:dyDescent="0.3">
      <c r="A32" s="16"/>
      <c r="B32" s="245" t="s">
        <v>25</v>
      </c>
      <c r="C32" s="246"/>
      <c r="D32" s="296" t="str">
        <f>IF(IF(ISERROR(D25/D24),0,D25/D24)=0,"",IF(ISERROR(D25/D24),0,D25/D24))</f>
        <v/>
      </c>
      <c r="E32" s="296"/>
      <c r="F32" s="296"/>
      <c r="G32" s="296"/>
      <c r="H32" s="296"/>
      <c r="I32" s="296"/>
      <c r="J32" s="296"/>
      <c r="K32" s="297"/>
      <c r="M32" s="285"/>
      <c r="N32" s="286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  <c r="AA32" s="286"/>
      <c r="AB32" s="286"/>
      <c r="AC32" s="286"/>
      <c r="AD32" s="286"/>
      <c r="AE32" s="286"/>
      <c r="AF32" s="286"/>
      <c r="AG32" s="286"/>
      <c r="AH32" s="286"/>
      <c r="AI32" s="286"/>
      <c r="AJ32" s="286"/>
      <c r="AK32" s="286"/>
      <c r="AL32" s="286"/>
      <c r="AM32" s="286"/>
      <c r="AN32" s="286"/>
      <c r="AO32" s="286"/>
      <c r="AP32" s="286"/>
      <c r="AQ32" s="286"/>
      <c r="AR32" s="286"/>
      <c r="AS32" s="286"/>
      <c r="AT32" s="286"/>
      <c r="AU32" s="286"/>
      <c r="AV32" s="286"/>
      <c r="AW32" s="286"/>
      <c r="AX32" s="286"/>
      <c r="AY32" s="286"/>
      <c r="AZ32" s="286"/>
      <c r="BA32" s="286"/>
      <c r="BB32" s="286"/>
      <c r="BC32" s="287"/>
      <c r="BD32" s="17"/>
    </row>
    <row r="33" spans="1:56" ht="9.9" customHeight="1" x14ac:dyDescent="0.25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85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7"/>
      <c r="BD33" s="17"/>
    </row>
    <row r="34" spans="1:56" ht="9.9" customHeight="1" x14ac:dyDescent="0.25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85"/>
      <c r="N34" s="286"/>
      <c r="O34" s="286"/>
      <c r="P34" s="286"/>
      <c r="Q34" s="286"/>
      <c r="R34" s="286"/>
      <c r="S34" s="286"/>
      <c r="T34" s="286"/>
      <c r="U34" s="286"/>
      <c r="V34" s="286"/>
      <c r="W34" s="286"/>
      <c r="X34" s="286"/>
      <c r="Y34" s="286"/>
      <c r="Z34" s="286"/>
      <c r="AA34" s="286"/>
      <c r="AB34" s="286"/>
      <c r="AC34" s="286"/>
      <c r="AD34" s="286"/>
      <c r="AE34" s="286"/>
      <c r="AF34" s="286"/>
      <c r="AG34" s="286"/>
      <c r="AH34" s="286"/>
      <c r="AI34" s="286"/>
      <c r="AJ34" s="286"/>
      <c r="AK34" s="286"/>
      <c r="AL34" s="286"/>
      <c r="AM34" s="286"/>
      <c r="AN34" s="286"/>
      <c r="AO34" s="286"/>
      <c r="AP34" s="286"/>
      <c r="AQ34" s="286"/>
      <c r="AR34" s="286"/>
      <c r="AS34" s="286"/>
      <c r="AT34" s="286"/>
      <c r="AU34" s="286"/>
      <c r="AV34" s="286"/>
      <c r="AW34" s="286"/>
      <c r="AX34" s="286"/>
      <c r="AY34" s="286"/>
      <c r="AZ34" s="286"/>
      <c r="BA34" s="286"/>
      <c r="BB34" s="286"/>
      <c r="BC34" s="287"/>
      <c r="BD34" s="17"/>
    </row>
    <row r="35" spans="1:56" ht="9.9" customHeight="1" x14ac:dyDescent="0.25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85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7"/>
      <c r="BD35" s="17"/>
    </row>
    <row r="36" spans="1:56" ht="9.9" customHeight="1" thickBot="1" x14ac:dyDescent="0.3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85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6"/>
      <c r="AB36" s="286"/>
      <c r="AC36" s="286"/>
      <c r="AD36" s="286"/>
      <c r="AE36" s="286"/>
      <c r="AF36" s="286"/>
      <c r="AG36" s="286"/>
      <c r="AH36" s="286"/>
      <c r="AI36" s="286"/>
      <c r="AJ36" s="286"/>
      <c r="AK36" s="286"/>
      <c r="AL36" s="286"/>
      <c r="AM36" s="286"/>
      <c r="AN36" s="286"/>
      <c r="AO36" s="286"/>
      <c r="AP36" s="286"/>
      <c r="AQ36" s="286"/>
      <c r="AR36" s="286"/>
      <c r="AS36" s="286"/>
      <c r="AT36" s="286"/>
      <c r="AU36" s="286"/>
      <c r="AV36" s="286"/>
      <c r="AW36" s="286"/>
      <c r="AX36" s="286"/>
      <c r="AY36" s="286"/>
      <c r="AZ36" s="286"/>
      <c r="BA36" s="286"/>
      <c r="BB36" s="286"/>
      <c r="BC36" s="287"/>
      <c r="BD36" s="17"/>
    </row>
    <row r="37" spans="1:56" ht="108" customHeight="1" thickBot="1" x14ac:dyDescent="0.3">
      <c r="A37" s="16"/>
      <c r="C37" s="111"/>
      <c r="D37" s="112"/>
      <c r="E37" s="112"/>
      <c r="G37" s="113" t="s">
        <v>39</v>
      </c>
      <c r="H37" s="279" t="str">
        <f>IF(ISERROR(SUM('Relatório de Consultoria'!D5:D161)/'Agenda de Consultoria'!D57),"",SUM('Relatório de Consultoria'!D5:D161)/'Agenda de Consultoria'!D57)</f>
        <v/>
      </c>
      <c r="I37" s="280"/>
      <c r="J37" s="280"/>
      <c r="K37" s="281"/>
      <c r="M37" s="288"/>
      <c r="N37" s="289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  <c r="AF37" s="289"/>
      <c r="AG37" s="289"/>
      <c r="AH37" s="289"/>
      <c r="AI37" s="289"/>
      <c r="AJ37" s="289"/>
      <c r="AK37" s="289"/>
      <c r="AL37" s="289"/>
      <c r="AM37" s="289"/>
      <c r="AN37" s="289"/>
      <c r="AO37" s="289"/>
      <c r="AP37" s="289"/>
      <c r="AQ37" s="289"/>
      <c r="AR37" s="289"/>
      <c r="AS37" s="289"/>
      <c r="AT37" s="289"/>
      <c r="AU37" s="289"/>
      <c r="AV37" s="289"/>
      <c r="AW37" s="289"/>
      <c r="AX37" s="289"/>
      <c r="AY37" s="289"/>
      <c r="AZ37" s="289"/>
      <c r="BA37" s="289"/>
      <c r="BB37" s="289"/>
      <c r="BC37" s="290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89" priority="289" stopIfTrue="1">
      <formula>D9="V"</formula>
    </cfRule>
    <cfRule type="expression" dxfId="788" priority="290" stopIfTrue="1">
      <formula>D9="P"</formula>
    </cfRule>
    <cfRule type="expression" dxfId="787" priority="291" stopIfTrue="1">
      <formula>D9="R"</formula>
    </cfRule>
  </conditionalFormatting>
  <conditionalFormatting sqref="H9:AU21 AZ9:BC21">
    <cfRule type="expression" dxfId="786" priority="4" stopIfTrue="1">
      <formula>H9="V"</formula>
    </cfRule>
    <cfRule type="expression" dxfId="785" priority="5" stopIfTrue="1">
      <formula>H9="P"</formula>
    </cfRule>
    <cfRule type="expression" dxfId="784" priority="6" stopIfTrue="1">
      <formula>H9="R"</formula>
    </cfRule>
  </conditionalFormatting>
  <conditionalFormatting sqref="AV9:AY21">
    <cfRule type="expression" dxfId="783" priority="1" stopIfTrue="1">
      <formula>AV9="V"</formula>
    </cfRule>
    <cfRule type="expression" dxfId="782" priority="2" stopIfTrue="1">
      <formula>AV9="P"</formula>
    </cfRule>
    <cfRule type="expression" dxfId="781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3" zoomScaleNormal="53" zoomScaleSheetLayoutView="92" workbookViewId="0">
      <pane xSplit="4" ySplit="1" topLeftCell="E6" activePane="bottomRight" state="frozen"/>
      <selection activeCell="A2" sqref="A2"/>
      <selection pane="topRight" activeCell="E2" sqref="E2"/>
      <selection pane="bottomLeft" activeCell="A3" sqref="A3"/>
      <selection pane="bottomRight" activeCell="AN22" sqref="AN22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9" width="4.44140625" style="15" customWidth="1"/>
    <col min="10" max="10" width="5.5546875" style="15" customWidth="1"/>
    <col min="11" max="11" width="0.109375" style="15" hidden="1" customWidth="1"/>
    <col min="12" max="12" width="3.33203125" style="15" hidden="1" customWidth="1"/>
    <col min="13" max="14" width="4.44140625" style="15" customWidth="1"/>
    <col min="15" max="15" width="6.88671875" style="15" bestFit="1" customWidth="1"/>
    <col min="16" max="17" width="6.33203125" style="15" bestFit="1" customWidth="1"/>
    <col min="18" max="18" width="7.5546875" style="15" customWidth="1"/>
    <col min="19" max="19" width="0.109375" style="15" hidden="1" customWidth="1"/>
    <col min="20" max="20" width="3.7773437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1093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441406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89" width="4.44140625" style="15" customWidth="1"/>
    <col min="90" max="90" width="3.6640625" style="15" customWidth="1"/>
    <col min="91" max="91" width="12.88671875" style="15" hidden="1" customWidth="1"/>
    <col min="92" max="92" width="4.44140625" style="15" hidden="1" customWidth="1"/>
    <col min="93" max="93" width="0.4414062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>
      <c r="C1" s="214" t="s">
        <v>122</v>
      </c>
    </row>
    <row r="2" spans="1:95" ht="45" customHeight="1" x14ac:dyDescent="0.25">
      <c r="B2" s="302" t="s">
        <v>31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2"/>
      <c r="AK2" s="302"/>
      <c r="AL2" s="302"/>
      <c r="AM2" s="302"/>
      <c r="AN2" s="302"/>
      <c r="AO2" s="302"/>
      <c r="AP2" s="302"/>
      <c r="AQ2" s="302"/>
      <c r="AR2" s="302"/>
      <c r="AS2" s="302"/>
      <c r="AT2" s="302"/>
      <c r="AU2" s="302"/>
      <c r="AV2" s="302"/>
      <c r="AW2" s="302"/>
      <c r="AX2" s="302"/>
      <c r="AY2" s="302"/>
      <c r="AZ2" s="302"/>
      <c r="BA2" s="302"/>
      <c r="BB2" s="302"/>
      <c r="BC2" s="302"/>
      <c r="BD2" s="302"/>
      <c r="BE2" s="302"/>
      <c r="BF2" s="302"/>
      <c r="BG2" s="302"/>
      <c r="BH2" s="302"/>
      <c r="BI2" s="302"/>
      <c r="BJ2" s="302"/>
      <c r="BK2" s="302"/>
      <c r="BL2" s="302"/>
      <c r="BM2" s="302"/>
      <c r="BN2" s="302"/>
      <c r="BO2" s="302"/>
      <c r="BP2" s="302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2"/>
      <c r="CJ2" s="302"/>
      <c r="CK2" s="302"/>
      <c r="CL2" s="302"/>
      <c r="CM2" s="302"/>
      <c r="CN2" s="302"/>
    </row>
    <row r="3" spans="1:95" s="82" customFormat="1" ht="24.6" customHeight="1" x14ac:dyDescent="0.25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53" t="s">
        <v>28</v>
      </c>
      <c r="C5" s="309">
        <v>44805</v>
      </c>
      <c r="D5" s="312"/>
      <c r="E5" s="312"/>
      <c r="F5" s="312"/>
      <c r="G5" s="312"/>
      <c r="H5" s="312"/>
      <c r="I5" s="312"/>
      <c r="J5" s="313"/>
      <c r="K5" s="309">
        <v>44835</v>
      </c>
      <c r="L5" s="312"/>
      <c r="M5" s="312"/>
      <c r="N5" s="312"/>
      <c r="O5" s="312"/>
      <c r="P5" s="312"/>
      <c r="Q5" s="312"/>
      <c r="R5" s="313"/>
      <c r="S5" s="309">
        <v>44866</v>
      </c>
      <c r="T5" s="312"/>
      <c r="U5" s="312"/>
      <c r="V5" s="312"/>
      <c r="W5" s="312"/>
      <c r="X5" s="312"/>
      <c r="Y5" s="312"/>
      <c r="Z5" s="313"/>
      <c r="AA5" s="309">
        <v>44896</v>
      </c>
      <c r="AB5" s="304"/>
      <c r="AC5" s="304"/>
      <c r="AD5" s="304"/>
      <c r="AE5" s="304"/>
      <c r="AF5" s="304"/>
      <c r="AG5" s="304"/>
      <c r="AH5" s="310"/>
      <c r="AI5" s="309">
        <v>44927</v>
      </c>
      <c r="AJ5" s="304"/>
      <c r="AK5" s="304"/>
      <c r="AL5" s="304"/>
      <c r="AM5" s="304"/>
      <c r="AN5" s="304"/>
      <c r="AO5" s="304"/>
      <c r="AP5" s="310"/>
      <c r="AQ5" s="309">
        <v>44958</v>
      </c>
      <c r="AR5" s="304"/>
      <c r="AS5" s="304"/>
      <c r="AT5" s="304"/>
      <c r="AU5" s="304"/>
      <c r="AV5" s="304"/>
      <c r="AW5" s="304"/>
      <c r="AX5" s="310"/>
      <c r="AY5" s="309">
        <v>44986</v>
      </c>
      <c r="AZ5" s="304"/>
      <c r="BA5" s="304"/>
      <c r="BB5" s="304"/>
      <c r="BC5" s="304"/>
      <c r="BD5" s="304"/>
      <c r="BE5" s="304"/>
      <c r="BF5" s="310"/>
      <c r="BG5" s="309">
        <v>45017</v>
      </c>
      <c r="BH5" s="304"/>
      <c r="BI5" s="304"/>
      <c r="BJ5" s="304"/>
      <c r="BK5" s="304"/>
      <c r="BL5" s="304"/>
      <c r="BM5" s="304"/>
      <c r="BN5" s="310"/>
      <c r="BO5" s="309">
        <v>45047</v>
      </c>
      <c r="BP5" s="312"/>
      <c r="BQ5" s="312"/>
      <c r="BR5" s="312"/>
      <c r="BS5" s="312"/>
      <c r="BT5" s="312"/>
      <c r="BU5" s="312"/>
      <c r="BV5" s="313"/>
      <c r="BW5" s="309">
        <v>45078</v>
      </c>
      <c r="BX5" s="312"/>
      <c r="BY5" s="312"/>
      <c r="BZ5" s="312"/>
      <c r="CA5" s="312"/>
      <c r="CB5" s="312"/>
      <c r="CC5" s="312"/>
      <c r="CD5" s="313"/>
      <c r="CE5" s="309">
        <v>45108</v>
      </c>
      <c r="CF5" s="304"/>
      <c r="CG5" s="304"/>
      <c r="CH5" s="304"/>
      <c r="CI5" s="304"/>
      <c r="CJ5" s="304"/>
      <c r="CK5" s="304"/>
      <c r="CL5" s="310"/>
      <c r="CM5" s="309">
        <v>44378</v>
      </c>
      <c r="CN5" s="304"/>
    </row>
    <row r="6" spans="1:95" s="80" customFormat="1" ht="20.25" customHeight="1" thickBot="1" x14ac:dyDescent="0.3">
      <c r="B6" s="311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3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8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Q7" s="221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88"/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3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F8" s="188"/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O8" s="187"/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7"/>
      <c r="W8" s="187"/>
      <c r="X8" s="187"/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3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7"/>
      <c r="G9" s="187"/>
      <c r="H9" s="187"/>
      <c r="I9" s="187"/>
      <c r="J9" s="187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P9" s="187"/>
      <c r="Q9" s="187"/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7"/>
      <c r="W9" s="187"/>
      <c r="X9" s="187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116</v>
      </c>
    </row>
    <row r="10" spans="1:95" s="80" customFormat="1" ht="20.25" customHeight="1" thickBot="1" x14ac:dyDescent="0.3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7"/>
      <c r="G10" s="187"/>
      <c r="H10" s="187"/>
      <c r="I10" s="187"/>
      <c r="J10" s="187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7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7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3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7"/>
      <c r="G11" s="187"/>
      <c r="H11" s="187"/>
      <c r="I11" s="187"/>
      <c r="J11" s="187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3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7"/>
      <c r="G12" s="187"/>
      <c r="H12" s="187"/>
      <c r="I12" s="187"/>
      <c r="J12" s="187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87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87"/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19.8" customHeight="1" thickBot="1" x14ac:dyDescent="0.3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7"/>
      <c r="G13" s="187"/>
      <c r="H13" s="187"/>
      <c r="I13" s="187"/>
      <c r="J13" s="187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3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7"/>
      <c r="G14" s="187"/>
      <c r="H14" s="187"/>
      <c r="I14" s="187"/>
      <c r="J14" s="187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84">
        <v>8</v>
      </c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3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7"/>
      <c r="G15" s="187"/>
      <c r="H15" s="187"/>
      <c r="I15" s="187"/>
      <c r="J15" s="187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3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7"/>
      <c r="G16" s="187"/>
      <c r="H16" s="187"/>
      <c r="I16" s="187"/>
      <c r="J16" s="187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27" t="s">
        <v>123</v>
      </c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7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3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7"/>
      <c r="G17" s="187"/>
      <c r="H17" s="187"/>
      <c r="I17" s="187"/>
      <c r="J17" s="187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3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7"/>
      <c r="G18" s="187"/>
      <c r="H18" s="187"/>
      <c r="I18" s="187"/>
      <c r="J18" s="187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3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7"/>
      <c r="G19" s="187"/>
      <c r="H19" s="187"/>
      <c r="I19" s="187"/>
      <c r="J19" s="187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3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7"/>
      <c r="G20" s="187"/>
      <c r="H20" s="187"/>
      <c r="I20" s="187"/>
      <c r="J20" s="187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3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7"/>
      <c r="G21" s="187"/>
      <c r="H21" s="187"/>
      <c r="I21" s="187"/>
      <c r="J21" s="187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3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3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3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3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3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3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3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3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7"/>
      <c r="G29" s="187"/>
      <c r="H29" s="187"/>
      <c r="I29" s="187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22"/>
    </row>
    <row r="30" spans="2:95" s="80" customFormat="1" ht="20.25" customHeight="1" thickBot="1" x14ac:dyDescent="0.3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7"/>
      <c r="G30" s="187"/>
      <c r="H30" s="187"/>
      <c r="I30" s="187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3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7"/>
      <c r="G31" s="187"/>
      <c r="H31" s="187"/>
      <c r="I31" s="187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3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83">
        <v>8</v>
      </c>
      <c r="G32" s="187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3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87"/>
      <c r="G33" s="187"/>
      <c r="H33" s="127" t="s">
        <v>121</v>
      </c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3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7"/>
      <c r="G34" s="164" t="s">
        <v>123</v>
      </c>
      <c r="H34" s="187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F35" s="187"/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" customHeight="1" thickBot="1" x14ac:dyDescent="0.3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303" t="s">
        <v>32</v>
      </c>
      <c r="C39" s="304"/>
      <c r="D39" s="304"/>
      <c r="E39" s="304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5"/>
      <c r="R39" s="306">
        <v>224</v>
      </c>
      <c r="S39" s="307"/>
      <c r="T39" s="307"/>
      <c r="U39" s="307"/>
      <c r="V39" s="307"/>
      <c r="W39" s="308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314">
        <f>SUM(F8:F37,N7:N37,V7:V37,AD7:AD37,AL7:AL37,AT7:AT37,BB7:BB37,BJ7:BJ37,BR7:BR37,BZ7:BZ37,CH7:CH37,B41)</f>
        <v>8</v>
      </c>
      <c r="F41" s="315"/>
      <c r="G41" s="43"/>
      <c r="H41" s="43"/>
      <c r="I41" s="43"/>
      <c r="J41" s="44" t="str">
        <f>H6</f>
        <v>JA</v>
      </c>
      <c r="K41" s="43"/>
      <c r="L41" s="43"/>
      <c r="M41" s="314">
        <f>SUM(H7:H37,P7:P37,X7:X37,AF7:AF37,AN7:AN37,AV7:AV37,BD7:BD37,BL7:BL37,BT7:BT37,CB7:CB37,CJ7:CJ37,J41)</f>
        <v>8</v>
      </c>
      <c r="N41" s="315"/>
      <c r="O41" s="43"/>
      <c r="P41" s="43"/>
      <c r="Q41" s="43"/>
      <c r="R41" s="44">
        <f>J6</f>
        <v>0</v>
      </c>
      <c r="S41" s="43"/>
      <c r="T41" s="43"/>
      <c r="U41" s="314">
        <f>SUM(J7:J37,R7:R37,Z7:Z37,AH7:AH37,AP7:AP37,AX7:AX37,BF7:BF37,BN7:BN37,BV7:BV37,CD7:CD37,CL7:CL37,R41)</f>
        <v>0</v>
      </c>
      <c r="V41" s="315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314">
        <f>SUM(G7:G37,O8:O37,W7:W37,AE7:AE37,AM7:AM37,AU7:AU37,BC7:BC37,BK7:BK37,BS7:BS37,CA7:CA37,CI7:CI37,B43)</f>
        <v>0</v>
      </c>
      <c r="F43" s="315"/>
      <c r="G43" s="43"/>
      <c r="H43" s="43"/>
      <c r="I43" s="43"/>
      <c r="J43" s="44" t="str">
        <f>I6</f>
        <v>RA</v>
      </c>
      <c r="K43" s="43"/>
      <c r="L43" s="43"/>
      <c r="M43" s="314">
        <f>SUM(I7:I37,Q7:Q37,Y7:Y37,AG7:AG37,AO7:AO37,AW7:AW37,BE7:BE37,BM7:BM37,BU7:BU37,CC7:CC37,CK7:CK37,J43)</f>
        <v>0</v>
      </c>
      <c r="N43" s="315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14">
        <f>IF(SUM(U41,M41,M43,E43,E41)=0,"",SUM(U41,M41,M43,E43,E41))</f>
        <v>16</v>
      </c>
      <c r="V43" s="315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0</v>
      </c>
      <c r="Q47" s="156"/>
      <c r="R47" s="155" t="s">
        <v>57</v>
      </c>
      <c r="S47" s="156"/>
      <c r="T47" s="156"/>
      <c r="U47" s="170">
        <f>U43/8</f>
        <v>2</v>
      </c>
      <c r="AH47" s="6">
        <f>119/8</f>
        <v>14.875</v>
      </c>
      <c r="AO47" s="196">
        <v>8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8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8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16</v>
      </c>
      <c r="F434" s="15">
        <f>SUM(F7:J37)</f>
        <v>8</v>
      </c>
      <c r="N434" s="15">
        <f>SUM(N7:R37)</f>
        <v>0</v>
      </c>
      <c r="V434" s="15">
        <f>SUM(V7:Z37)</f>
        <v>8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2</v>
      </c>
      <c r="F435" s="15">
        <f>F434/8</f>
        <v>1</v>
      </c>
      <c r="N435" s="15">
        <f>N434/8</f>
        <v>0</v>
      </c>
      <c r="V435" s="15">
        <f>V434/8</f>
        <v>1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1</v>
      </c>
      <c r="F437" s="15">
        <f>SUM(F8:F37)/8</f>
        <v>1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1</v>
      </c>
      <c r="H439" s="15">
        <f>SUM(H7:H37)/8</f>
        <v>0</v>
      </c>
      <c r="P439" s="15">
        <f>SUM(P7:P37)/8</f>
        <v>0</v>
      </c>
      <c r="X439" s="15">
        <f>SUM(X7:X37)/8</f>
        <v>1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80" priority="10171" stopIfTrue="1" operator="equal">
      <formula>0</formula>
    </cfRule>
  </conditionalFormatting>
  <conditionalFormatting sqref="E7:E37 M7:M37 U7:U37 AC7:AC37 AK7:AK37 AS7:AS37 BA7:BA37 BI7:BI37 BQ7:BQ37 BY7:BY37 CG7:CG37">
    <cfRule type="cellIs" dxfId="779" priority="10174" stopIfTrue="1" operator="equal">
      <formula>"D"</formula>
    </cfRule>
  </conditionalFormatting>
  <conditionalFormatting sqref="U43:V43">
    <cfRule type="cellIs" dxfId="778" priority="10175" stopIfTrue="1" operator="equal">
      <formula>$R$39</formula>
    </cfRule>
    <cfRule type="cellIs" dxfId="777" priority="10176" stopIfTrue="1" operator="greaterThan">
      <formula>$R$39</formula>
    </cfRule>
    <cfRule type="cellIs" dxfId="776" priority="10177" stopIfTrue="1" operator="lessThan">
      <formula>$R$39</formula>
    </cfRule>
  </conditionalFormatting>
  <conditionalFormatting sqref="K9:L37 BG7:BH37 BW7:BX37 CM7:CN37 BO7:BP37 S7:T37 AA7:AB37 AI7:AJ37 AQ7:AR37 AY7:AZ37 F22:J24 F26:J26 F25:I25 CE7:CF37 AH22:AH23 J32:J35 J29:J30 N8 P8:R8 R9 R7 F36:J37 F28 H28:J28 Y7:Z8 Y10:Z10 Z9 F8:J8 G7:L7 V10:W10">
    <cfRule type="cellIs" dxfId="775" priority="9157" stopIfTrue="1" operator="equal">
      <formula>"S"</formula>
    </cfRule>
    <cfRule type="cellIs" dxfId="774" priority="9158" stopIfTrue="1" operator="equal">
      <formula>"D"</formula>
    </cfRule>
  </conditionalFormatting>
  <conditionalFormatting sqref="AC41">
    <cfRule type="cellIs" dxfId="773" priority="9054" stopIfTrue="1" operator="equal">
      <formula>"S"</formula>
    </cfRule>
    <cfRule type="cellIs" dxfId="772" priority="9055" stopIfTrue="1" operator="equal">
      <formula>"D"</formula>
    </cfRule>
  </conditionalFormatting>
  <conditionalFormatting sqref="AC41">
    <cfRule type="cellIs" dxfId="771" priority="9052" stopIfTrue="1" operator="equal">
      <formula>"S"</formula>
    </cfRule>
    <cfRule type="cellIs" dxfId="770" priority="9053" stopIfTrue="1" operator="equal">
      <formula>"D"</formula>
    </cfRule>
  </conditionalFormatting>
  <conditionalFormatting sqref="AC41">
    <cfRule type="cellIs" dxfId="769" priority="9050" stopIfTrue="1" operator="equal">
      <formula>"S"</formula>
    </cfRule>
    <cfRule type="cellIs" dxfId="768" priority="9051" stopIfTrue="1" operator="equal">
      <formula>"D"</formula>
    </cfRule>
  </conditionalFormatting>
  <conditionalFormatting sqref="AC41">
    <cfRule type="cellIs" dxfId="767" priority="9048" stopIfTrue="1" operator="equal">
      <formula>"S"</formula>
    </cfRule>
    <cfRule type="cellIs" dxfId="766" priority="9049" stopIfTrue="1" operator="equal">
      <formula>"D"</formula>
    </cfRule>
  </conditionalFormatting>
  <conditionalFormatting sqref="AC41">
    <cfRule type="cellIs" dxfId="765" priority="9046" stopIfTrue="1" operator="equal">
      <formula>"S"</formula>
    </cfRule>
    <cfRule type="cellIs" dxfId="764" priority="9047" stopIfTrue="1" operator="equal">
      <formula>"D"</formula>
    </cfRule>
  </conditionalFormatting>
  <conditionalFormatting sqref="AC43">
    <cfRule type="cellIs" dxfId="763" priority="9044" stopIfTrue="1" operator="equal">
      <formula>"S"</formula>
    </cfRule>
    <cfRule type="cellIs" dxfId="762" priority="9045" stopIfTrue="1" operator="equal">
      <formula>"D"</formula>
    </cfRule>
  </conditionalFormatting>
  <conditionalFormatting sqref="AC43">
    <cfRule type="cellIs" dxfId="761" priority="9042" stopIfTrue="1" operator="equal">
      <formula>"S"</formula>
    </cfRule>
    <cfRule type="cellIs" dxfId="760" priority="9043" stopIfTrue="1" operator="equal">
      <formula>"D"</formula>
    </cfRule>
  </conditionalFormatting>
  <conditionalFormatting sqref="AK41">
    <cfRule type="cellIs" dxfId="759" priority="9040" stopIfTrue="1" operator="equal">
      <formula>"S"</formula>
    </cfRule>
    <cfRule type="cellIs" dxfId="758" priority="9041" stopIfTrue="1" operator="equal">
      <formula>"D"</formula>
    </cfRule>
  </conditionalFormatting>
  <conditionalFormatting sqref="AK41">
    <cfRule type="cellIs" dxfId="757" priority="9038" stopIfTrue="1" operator="equal">
      <formula>"S"</formula>
    </cfRule>
    <cfRule type="cellIs" dxfId="756" priority="9039" stopIfTrue="1" operator="equal">
      <formula>"D"</formula>
    </cfRule>
  </conditionalFormatting>
  <conditionalFormatting sqref="AK43">
    <cfRule type="cellIs" dxfId="755" priority="9036" stopIfTrue="1" operator="equal">
      <formula>"S"</formula>
    </cfRule>
    <cfRule type="cellIs" dxfId="754" priority="9037" stopIfTrue="1" operator="equal">
      <formula>"D"</formula>
    </cfRule>
  </conditionalFormatting>
  <conditionalFormatting sqref="AK43">
    <cfRule type="cellIs" dxfId="753" priority="9034" stopIfTrue="1" operator="equal">
      <formula>"S"</formula>
    </cfRule>
    <cfRule type="cellIs" dxfId="752" priority="9035" stopIfTrue="1" operator="equal">
      <formula>"D"</formula>
    </cfRule>
  </conditionalFormatting>
  <conditionalFormatting sqref="F37:J37 H36:J36 J31:J35">
    <cfRule type="cellIs" dxfId="751" priority="8854" stopIfTrue="1" operator="equal">
      <formula>"S"</formula>
    </cfRule>
    <cfRule type="cellIs" dxfId="750" priority="8855" stopIfTrue="1" operator="equal">
      <formula>"D"</formula>
    </cfRule>
  </conditionalFormatting>
  <conditionalFormatting sqref="F36">
    <cfRule type="cellIs" dxfId="749" priority="6262" stopIfTrue="1" operator="equal">
      <formula>"S"</formula>
    </cfRule>
    <cfRule type="cellIs" dxfId="748" priority="6263" stopIfTrue="1" operator="equal">
      <formula>"D"</formula>
    </cfRule>
  </conditionalFormatting>
  <conditionalFormatting sqref="F36">
    <cfRule type="cellIs" dxfId="747" priority="6260" stopIfTrue="1" operator="equal">
      <formula>"S"</formula>
    </cfRule>
    <cfRule type="cellIs" dxfId="746" priority="6261" stopIfTrue="1" operator="equal">
      <formula>"D"</formula>
    </cfRule>
  </conditionalFormatting>
  <conditionalFormatting sqref="G36">
    <cfRule type="cellIs" dxfId="745" priority="6258" stopIfTrue="1" operator="equal">
      <formula>"S"</formula>
    </cfRule>
    <cfRule type="cellIs" dxfId="744" priority="6259" stopIfTrue="1" operator="equal">
      <formula>"D"</formula>
    </cfRule>
  </conditionalFormatting>
  <conditionalFormatting sqref="G36">
    <cfRule type="cellIs" dxfId="743" priority="6256" stopIfTrue="1" operator="equal">
      <formula>"S"</formula>
    </cfRule>
    <cfRule type="cellIs" dxfId="742" priority="6257" stopIfTrue="1" operator="equal">
      <formula>"D"</formula>
    </cfRule>
  </conditionalFormatting>
  <conditionalFormatting sqref="J31 F27 I27:J27">
    <cfRule type="cellIs" dxfId="741" priority="3090" stopIfTrue="1" operator="equal">
      <formula>"S"</formula>
    </cfRule>
    <cfRule type="cellIs" dxfId="740" priority="3091" stopIfTrue="1" operator="equal">
      <formula>"D"</formula>
    </cfRule>
  </conditionalFormatting>
  <conditionalFormatting sqref="J29">
    <cfRule type="cellIs" dxfId="739" priority="2558" stopIfTrue="1" operator="equal">
      <formula>"S"</formula>
    </cfRule>
    <cfRule type="cellIs" dxfId="738" priority="2559" stopIfTrue="1" operator="equal">
      <formula>"D"</formula>
    </cfRule>
  </conditionalFormatting>
  <conditionalFormatting sqref="J29">
    <cfRule type="cellIs" dxfId="737" priority="2556" stopIfTrue="1" operator="equal">
      <formula>"S"</formula>
    </cfRule>
    <cfRule type="cellIs" dxfId="736" priority="2557" stopIfTrue="1" operator="equal">
      <formula>"D"</formula>
    </cfRule>
  </conditionalFormatting>
  <conditionalFormatting sqref="J30">
    <cfRule type="cellIs" dxfId="735" priority="2554" stopIfTrue="1" operator="equal">
      <formula>"S"</formula>
    </cfRule>
    <cfRule type="cellIs" dxfId="734" priority="2555" stopIfTrue="1" operator="equal">
      <formula>"D"</formula>
    </cfRule>
  </conditionalFormatting>
  <conditionalFormatting sqref="J30">
    <cfRule type="cellIs" dxfId="733" priority="2552" stopIfTrue="1" operator="equal">
      <formula>"S"</formula>
    </cfRule>
    <cfRule type="cellIs" dxfId="732" priority="2553" stopIfTrue="1" operator="equal">
      <formula>"D"</formula>
    </cfRule>
  </conditionalFormatting>
  <conditionalFormatting sqref="G27:H27">
    <cfRule type="cellIs" dxfId="731" priority="1345" stopIfTrue="1" operator="equal">
      <formula>"S"</formula>
    </cfRule>
    <cfRule type="cellIs" dxfId="730" priority="1346" stopIfTrue="1" operator="equal">
      <formula>"D"</formula>
    </cfRule>
  </conditionalFormatting>
  <conditionalFormatting sqref="G27:H27">
    <cfRule type="cellIs" dxfId="729" priority="1343" stopIfTrue="1" operator="equal">
      <formula>"S"</formula>
    </cfRule>
    <cfRule type="cellIs" dxfId="728" priority="1344" stopIfTrue="1" operator="equal">
      <formula>"D"</formula>
    </cfRule>
  </conditionalFormatting>
  <conditionalFormatting sqref="G27:H27">
    <cfRule type="cellIs" dxfId="727" priority="1341" stopIfTrue="1" operator="equal">
      <formula>"S"</formula>
    </cfRule>
    <cfRule type="cellIs" dxfId="726" priority="1342" stopIfTrue="1" operator="equal">
      <formula>"D"</formula>
    </cfRule>
  </conditionalFormatting>
  <conditionalFormatting sqref="G27:H27">
    <cfRule type="cellIs" dxfId="725" priority="1339" stopIfTrue="1" operator="equal">
      <formula>"S"</formula>
    </cfRule>
    <cfRule type="cellIs" dxfId="724" priority="1340" stopIfTrue="1" operator="equal">
      <formula>"D"</formula>
    </cfRule>
  </conditionalFormatting>
  <conditionalFormatting sqref="G27:H27">
    <cfRule type="cellIs" dxfId="723" priority="1347" stopIfTrue="1" operator="equal">
      <formula>"S"</formula>
    </cfRule>
    <cfRule type="cellIs" dxfId="722" priority="1348" stopIfTrue="1" operator="equal">
      <formula>"D"</formula>
    </cfRule>
  </conditionalFormatting>
  <conditionalFormatting sqref="N37:R37 P36:R36 Q34:R34 R35">
    <cfRule type="cellIs" dxfId="721" priority="1213" stopIfTrue="1" operator="equal">
      <formula>"S"</formula>
    </cfRule>
    <cfRule type="cellIs" dxfId="720" priority="1214" stopIfTrue="1" operator="equal">
      <formula>"D"</formula>
    </cfRule>
  </conditionalFormatting>
  <conditionalFormatting sqref="O35">
    <cfRule type="cellIs" dxfId="719" priority="1197" stopIfTrue="1" operator="equal">
      <formula>"S"</formula>
    </cfRule>
    <cfRule type="cellIs" dxfId="718" priority="1198" stopIfTrue="1" operator="equal">
      <formula>"D"</formula>
    </cfRule>
  </conditionalFormatting>
  <conditionalFormatting sqref="O35">
    <cfRule type="cellIs" dxfId="717" priority="1195" stopIfTrue="1" operator="equal">
      <formula>"S"</formula>
    </cfRule>
    <cfRule type="cellIs" dxfId="716" priority="1196" stopIfTrue="1" operator="equal">
      <formula>"D"</formula>
    </cfRule>
  </conditionalFormatting>
  <conditionalFormatting sqref="O34">
    <cfRule type="cellIs" dxfId="715" priority="1193" stopIfTrue="1" operator="equal">
      <formula>"S"</formula>
    </cfRule>
    <cfRule type="cellIs" dxfId="714" priority="1194" stopIfTrue="1" operator="equal">
      <formula>"D"</formula>
    </cfRule>
  </conditionalFormatting>
  <conditionalFormatting sqref="N36">
    <cfRule type="cellIs" dxfId="713" priority="1191" stopIfTrue="1" operator="equal">
      <formula>"S"</formula>
    </cfRule>
    <cfRule type="cellIs" dxfId="712" priority="1192" stopIfTrue="1" operator="equal">
      <formula>"D"</formula>
    </cfRule>
  </conditionalFormatting>
  <conditionalFormatting sqref="N36">
    <cfRule type="cellIs" dxfId="711" priority="1189" stopIfTrue="1" operator="equal">
      <formula>"S"</formula>
    </cfRule>
    <cfRule type="cellIs" dxfId="710" priority="1190" stopIfTrue="1" operator="equal">
      <formula>"D"</formula>
    </cfRule>
  </conditionalFormatting>
  <conditionalFormatting sqref="O36">
    <cfRule type="cellIs" dxfId="709" priority="1187" stopIfTrue="1" operator="equal">
      <formula>"S"</formula>
    </cfRule>
    <cfRule type="cellIs" dxfId="708" priority="1188" stopIfTrue="1" operator="equal">
      <formula>"D"</formula>
    </cfRule>
  </conditionalFormatting>
  <conditionalFormatting sqref="O36">
    <cfRule type="cellIs" dxfId="707" priority="1185" stopIfTrue="1" operator="equal">
      <formula>"S"</formula>
    </cfRule>
    <cfRule type="cellIs" dxfId="706" priority="1186" stopIfTrue="1" operator="equal">
      <formula>"D"</formula>
    </cfRule>
  </conditionalFormatting>
  <conditionalFormatting sqref="N35">
    <cfRule type="cellIs" dxfId="705" priority="1201" stopIfTrue="1" operator="equal">
      <formula>"S"</formula>
    </cfRule>
    <cfRule type="cellIs" dxfId="704" priority="1202" stopIfTrue="1" operator="equal">
      <formula>"D"</formula>
    </cfRule>
  </conditionalFormatting>
  <conditionalFormatting sqref="N35">
    <cfRule type="cellIs" dxfId="703" priority="1199" stopIfTrue="1" operator="equal">
      <formula>"S"</formula>
    </cfRule>
    <cfRule type="cellIs" dxfId="702" priority="1200" stopIfTrue="1" operator="equal">
      <formula>"D"</formula>
    </cfRule>
  </conditionalFormatting>
  <conditionalFormatting sqref="N34">
    <cfRule type="cellIs" dxfId="701" priority="1183" stopIfTrue="1" operator="equal">
      <formula>"S"</formula>
    </cfRule>
    <cfRule type="cellIs" dxfId="700" priority="1184" stopIfTrue="1" operator="equal">
      <formula>"D"</formula>
    </cfRule>
  </conditionalFormatting>
  <conditionalFormatting sqref="N34:R37">
    <cfRule type="cellIs" dxfId="699" priority="1177" stopIfTrue="1" operator="equal">
      <formula>"S"</formula>
    </cfRule>
    <cfRule type="cellIs" dxfId="698" priority="1178" stopIfTrue="1" operator="equal">
      <formula>"D"</formula>
    </cfRule>
  </conditionalFormatting>
  <conditionalFormatting sqref="V37:Z37 X36:Z36 Z35">
    <cfRule type="cellIs" dxfId="697" priority="1135" stopIfTrue="1" operator="equal">
      <formula>"S"</formula>
    </cfRule>
    <cfRule type="cellIs" dxfId="696" priority="1136" stopIfTrue="1" operator="equal">
      <formula>"D"</formula>
    </cfRule>
  </conditionalFormatting>
  <conditionalFormatting sqref="W35">
    <cfRule type="cellIs" dxfId="695" priority="1119" stopIfTrue="1" operator="equal">
      <formula>"S"</formula>
    </cfRule>
    <cfRule type="cellIs" dxfId="694" priority="1120" stopIfTrue="1" operator="equal">
      <formula>"D"</formula>
    </cfRule>
  </conditionalFormatting>
  <conditionalFormatting sqref="W35">
    <cfRule type="cellIs" dxfId="693" priority="1117" stopIfTrue="1" operator="equal">
      <formula>"S"</formula>
    </cfRule>
    <cfRule type="cellIs" dxfId="692" priority="1118" stopIfTrue="1" operator="equal">
      <formula>"D"</formula>
    </cfRule>
  </conditionalFormatting>
  <conditionalFormatting sqref="V36">
    <cfRule type="cellIs" dxfId="691" priority="1113" stopIfTrue="1" operator="equal">
      <formula>"S"</formula>
    </cfRule>
    <cfRule type="cellIs" dxfId="690" priority="1114" stopIfTrue="1" operator="equal">
      <formula>"D"</formula>
    </cfRule>
  </conditionalFormatting>
  <conditionalFormatting sqref="V36">
    <cfRule type="cellIs" dxfId="689" priority="1111" stopIfTrue="1" operator="equal">
      <formula>"S"</formula>
    </cfRule>
    <cfRule type="cellIs" dxfId="688" priority="1112" stopIfTrue="1" operator="equal">
      <formula>"D"</formula>
    </cfRule>
  </conditionalFormatting>
  <conditionalFormatting sqref="W36">
    <cfRule type="cellIs" dxfId="687" priority="1109" stopIfTrue="1" operator="equal">
      <formula>"S"</formula>
    </cfRule>
    <cfRule type="cellIs" dxfId="686" priority="1110" stopIfTrue="1" operator="equal">
      <formula>"D"</formula>
    </cfRule>
  </conditionalFormatting>
  <conditionalFormatting sqref="W36">
    <cfRule type="cellIs" dxfId="685" priority="1107" stopIfTrue="1" operator="equal">
      <formula>"S"</formula>
    </cfRule>
    <cfRule type="cellIs" dxfId="684" priority="1108" stopIfTrue="1" operator="equal">
      <formula>"D"</formula>
    </cfRule>
  </conditionalFormatting>
  <conditionalFormatting sqref="V35">
    <cfRule type="cellIs" dxfId="683" priority="1123" stopIfTrue="1" operator="equal">
      <formula>"S"</formula>
    </cfRule>
    <cfRule type="cellIs" dxfId="682" priority="1124" stopIfTrue="1" operator="equal">
      <formula>"D"</formula>
    </cfRule>
  </conditionalFormatting>
  <conditionalFormatting sqref="V35">
    <cfRule type="cellIs" dxfId="681" priority="1121" stopIfTrue="1" operator="equal">
      <formula>"S"</formula>
    </cfRule>
    <cfRule type="cellIs" dxfId="680" priority="1122" stopIfTrue="1" operator="equal">
      <formula>"D"</formula>
    </cfRule>
  </conditionalFormatting>
  <conditionalFormatting sqref="V35:Z37">
    <cfRule type="cellIs" dxfId="679" priority="1099" stopIfTrue="1" operator="equal">
      <formula>"S"</formula>
    </cfRule>
    <cfRule type="cellIs" dxfId="678" priority="1100" stopIfTrue="1" operator="equal">
      <formula>"D"</formula>
    </cfRule>
  </conditionalFormatting>
  <conditionalFormatting sqref="AD37:AH37 AF36:AH36 AH31:AH35">
    <cfRule type="cellIs" dxfId="677" priority="1057" stopIfTrue="1" operator="equal">
      <formula>"S"</formula>
    </cfRule>
    <cfRule type="cellIs" dxfId="676" priority="1058" stopIfTrue="1" operator="equal">
      <formula>"D"</formula>
    </cfRule>
  </conditionalFormatting>
  <conditionalFormatting sqref="AE35">
    <cfRule type="cellIs" dxfId="675" priority="1041" stopIfTrue="1" operator="equal">
      <formula>"S"</formula>
    </cfRule>
    <cfRule type="cellIs" dxfId="674" priority="1042" stopIfTrue="1" operator="equal">
      <formula>"D"</formula>
    </cfRule>
  </conditionalFormatting>
  <conditionalFormatting sqref="AE35">
    <cfRule type="cellIs" dxfId="673" priority="1039" stopIfTrue="1" operator="equal">
      <formula>"S"</formula>
    </cfRule>
    <cfRule type="cellIs" dxfId="672" priority="1040" stopIfTrue="1" operator="equal">
      <formula>"D"</formula>
    </cfRule>
  </conditionalFormatting>
  <conditionalFormatting sqref="AD36">
    <cfRule type="cellIs" dxfId="671" priority="1035" stopIfTrue="1" operator="equal">
      <formula>"S"</formula>
    </cfRule>
    <cfRule type="cellIs" dxfId="670" priority="1036" stopIfTrue="1" operator="equal">
      <formula>"D"</formula>
    </cfRule>
  </conditionalFormatting>
  <conditionalFormatting sqref="AD36">
    <cfRule type="cellIs" dxfId="669" priority="1033" stopIfTrue="1" operator="equal">
      <formula>"S"</formula>
    </cfRule>
    <cfRule type="cellIs" dxfId="668" priority="1034" stopIfTrue="1" operator="equal">
      <formula>"D"</formula>
    </cfRule>
  </conditionalFormatting>
  <conditionalFormatting sqref="AE36">
    <cfRule type="cellIs" dxfId="667" priority="1031" stopIfTrue="1" operator="equal">
      <formula>"S"</formula>
    </cfRule>
    <cfRule type="cellIs" dxfId="666" priority="1032" stopIfTrue="1" operator="equal">
      <formula>"D"</formula>
    </cfRule>
  </conditionalFormatting>
  <conditionalFormatting sqref="AE36">
    <cfRule type="cellIs" dxfId="665" priority="1029" stopIfTrue="1" operator="equal">
      <formula>"S"</formula>
    </cfRule>
    <cfRule type="cellIs" dxfId="664" priority="1030" stopIfTrue="1" operator="equal">
      <formula>"D"</formula>
    </cfRule>
  </conditionalFormatting>
  <conditionalFormatting sqref="AD35">
    <cfRule type="cellIs" dxfId="663" priority="1045" stopIfTrue="1" operator="equal">
      <formula>"S"</formula>
    </cfRule>
    <cfRule type="cellIs" dxfId="662" priority="1046" stopIfTrue="1" operator="equal">
      <formula>"D"</formula>
    </cfRule>
  </conditionalFormatting>
  <conditionalFormatting sqref="AD35">
    <cfRule type="cellIs" dxfId="661" priority="1043" stopIfTrue="1" operator="equal">
      <formula>"S"</formula>
    </cfRule>
    <cfRule type="cellIs" dxfId="660" priority="1044" stopIfTrue="1" operator="equal">
      <formula>"D"</formula>
    </cfRule>
  </conditionalFormatting>
  <conditionalFormatting sqref="AD7:AH7 AD35:AH37 AH24:AH34 AH8:AH21 AD8:AG8 AD18:AG34">
    <cfRule type="cellIs" dxfId="659" priority="1021" stopIfTrue="1" operator="equal">
      <formula>"S"</formula>
    </cfRule>
    <cfRule type="cellIs" dxfId="658" priority="1022" stopIfTrue="1" operator="equal">
      <formula>"D"</formula>
    </cfRule>
  </conditionalFormatting>
  <conditionalFormatting sqref="AH29">
    <cfRule type="cellIs" dxfId="657" priority="1005" stopIfTrue="1" operator="equal">
      <formula>"S"</formula>
    </cfRule>
    <cfRule type="cellIs" dxfId="656" priority="1006" stopIfTrue="1" operator="equal">
      <formula>"D"</formula>
    </cfRule>
  </conditionalFormatting>
  <conditionalFormatting sqref="AH29">
    <cfRule type="cellIs" dxfId="655" priority="1003" stopIfTrue="1" operator="equal">
      <formula>"S"</formula>
    </cfRule>
    <cfRule type="cellIs" dxfId="654" priority="1004" stopIfTrue="1" operator="equal">
      <formula>"D"</formula>
    </cfRule>
  </conditionalFormatting>
  <conditionalFormatting sqref="AH30">
    <cfRule type="cellIs" dxfId="653" priority="1001" stopIfTrue="1" operator="equal">
      <formula>"S"</formula>
    </cfRule>
    <cfRule type="cellIs" dxfId="652" priority="1002" stopIfTrue="1" operator="equal">
      <formula>"D"</formula>
    </cfRule>
  </conditionalFormatting>
  <conditionalFormatting sqref="AH30">
    <cfRule type="cellIs" dxfId="651" priority="999" stopIfTrue="1" operator="equal">
      <formula>"S"</formula>
    </cfRule>
    <cfRule type="cellIs" dxfId="650" priority="1000" stopIfTrue="1" operator="equal">
      <formula>"D"</formula>
    </cfRule>
  </conditionalFormatting>
  <conditionalFormatting sqref="AL32:AP33 AL37:AP37 AN36:AP36 AL31 AP31 AO29 AO34:AP34 AP35">
    <cfRule type="cellIs" dxfId="649" priority="979" stopIfTrue="1" operator="equal">
      <formula>"S"</formula>
    </cfRule>
    <cfRule type="cellIs" dxfId="648" priority="980" stopIfTrue="1" operator="equal">
      <formula>"D"</formula>
    </cfRule>
  </conditionalFormatting>
  <conditionalFormatting sqref="AL30">
    <cfRule type="cellIs" dxfId="647" priority="977" stopIfTrue="1" operator="equal">
      <formula>"S"</formula>
    </cfRule>
    <cfRule type="cellIs" dxfId="646" priority="978" stopIfTrue="1" operator="equal">
      <formula>"D"</formula>
    </cfRule>
  </conditionalFormatting>
  <conditionalFormatting sqref="AL30">
    <cfRule type="cellIs" dxfId="645" priority="975" stopIfTrue="1" operator="equal">
      <formula>"S"</formula>
    </cfRule>
    <cfRule type="cellIs" dxfId="644" priority="976" stopIfTrue="1" operator="equal">
      <formula>"D"</formula>
    </cfRule>
  </conditionalFormatting>
  <conditionalFormatting sqref="AN29">
    <cfRule type="cellIs" dxfId="643" priority="973" stopIfTrue="1" operator="equal">
      <formula>"S"</formula>
    </cfRule>
    <cfRule type="cellIs" dxfId="642" priority="974" stopIfTrue="1" operator="equal">
      <formula>"D"</formula>
    </cfRule>
  </conditionalFormatting>
  <conditionalFormatting sqref="AN30">
    <cfRule type="cellIs" dxfId="641" priority="969" stopIfTrue="1" operator="equal">
      <formula>"S"</formula>
    </cfRule>
    <cfRule type="cellIs" dxfId="640" priority="970" stopIfTrue="1" operator="equal">
      <formula>"D"</formula>
    </cfRule>
  </conditionalFormatting>
  <conditionalFormatting sqref="AM35">
    <cfRule type="cellIs" dxfId="639" priority="963" stopIfTrue="1" operator="equal">
      <formula>"S"</formula>
    </cfRule>
    <cfRule type="cellIs" dxfId="638" priority="964" stopIfTrue="1" operator="equal">
      <formula>"D"</formula>
    </cfRule>
  </conditionalFormatting>
  <conditionalFormatting sqref="AM35">
    <cfRule type="cellIs" dxfId="637" priority="961" stopIfTrue="1" operator="equal">
      <formula>"S"</formula>
    </cfRule>
    <cfRule type="cellIs" dxfId="636" priority="962" stopIfTrue="1" operator="equal">
      <formula>"D"</formula>
    </cfRule>
  </conditionalFormatting>
  <conditionalFormatting sqref="AM34">
    <cfRule type="cellIs" dxfId="635" priority="959" stopIfTrue="1" operator="equal">
      <formula>"S"</formula>
    </cfRule>
    <cfRule type="cellIs" dxfId="634" priority="960" stopIfTrue="1" operator="equal">
      <formula>"D"</formula>
    </cfRule>
  </conditionalFormatting>
  <conditionalFormatting sqref="AL36">
    <cfRule type="cellIs" dxfId="633" priority="957" stopIfTrue="1" operator="equal">
      <formula>"S"</formula>
    </cfRule>
    <cfRule type="cellIs" dxfId="632" priority="958" stopIfTrue="1" operator="equal">
      <formula>"D"</formula>
    </cfRule>
  </conditionalFormatting>
  <conditionalFormatting sqref="AL36">
    <cfRule type="cellIs" dxfId="631" priority="955" stopIfTrue="1" operator="equal">
      <formula>"S"</formula>
    </cfRule>
    <cfRule type="cellIs" dxfId="630" priority="956" stopIfTrue="1" operator="equal">
      <formula>"D"</formula>
    </cfRule>
  </conditionalFormatting>
  <conditionalFormatting sqref="AM36">
    <cfRule type="cellIs" dxfId="629" priority="953" stopIfTrue="1" operator="equal">
      <formula>"S"</formula>
    </cfRule>
    <cfRule type="cellIs" dxfId="628" priority="954" stopIfTrue="1" operator="equal">
      <formula>"D"</formula>
    </cfRule>
  </conditionalFormatting>
  <conditionalFormatting sqref="AM36">
    <cfRule type="cellIs" dxfId="627" priority="951" stopIfTrue="1" operator="equal">
      <formula>"S"</formula>
    </cfRule>
    <cfRule type="cellIs" dxfId="626" priority="952" stopIfTrue="1" operator="equal">
      <formula>"D"</formula>
    </cfRule>
  </conditionalFormatting>
  <conditionalFormatting sqref="AO30">
    <cfRule type="cellIs" dxfId="625" priority="971" stopIfTrue="1" operator="equal">
      <formula>"S"</formula>
    </cfRule>
    <cfRule type="cellIs" dxfId="624" priority="972" stopIfTrue="1" operator="equal">
      <formula>"D"</formula>
    </cfRule>
  </conditionalFormatting>
  <conditionalFormatting sqref="AL35">
    <cfRule type="cellIs" dxfId="623" priority="967" stopIfTrue="1" operator="equal">
      <formula>"S"</formula>
    </cfRule>
    <cfRule type="cellIs" dxfId="622" priority="968" stopIfTrue="1" operator="equal">
      <formula>"D"</formula>
    </cfRule>
  </conditionalFormatting>
  <conditionalFormatting sqref="AL35">
    <cfRule type="cellIs" dxfId="621" priority="965" stopIfTrue="1" operator="equal">
      <formula>"S"</formula>
    </cfRule>
    <cfRule type="cellIs" dxfId="620" priority="966" stopIfTrue="1" operator="equal">
      <formula>"D"</formula>
    </cfRule>
  </conditionalFormatting>
  <conditionalFormatting sqref="AL34">
    <cfRule type="cellIs" dxfId="619" priority="949" stopIfTrue="1" operator="equal">
      <formula>"S"</formula>
    </cfRule>
    <cfRule type="cellIs" dxfId="618" priority="950" stopIfTrue="1" operator="equal">
      <formula>"D"</formula>
    </cfRule>
  </conditionalFormatting>
  <conditionalFormatting sqref="AM31:AN31">
    <cfRule type="cellIs" dxfId="617" priority="947" stopIfTrue="1" operator="equal">
      <formula>"S"</formula>
    </cfRule>
    <cfRule type="cellIs" dxfId="616" priority="948" stopIfTrue="1" operator="equal">
      <formula>"D"</formula>
    </cfRule>
  </conditionalFormatting>
  <conditionalFormatting sqref="AL29">
    <cfRule type="cellIs" dxfId="615" priority="945" stopIfTrue="1" operator="equal">
      <formula>"S"</formula>
    </cfRule>
    <cfRule type="cellIs" dxfId="614" priority="946" stopIfTrue="1" operator="equal">
      <formula>"D"</formula>
    </cfRule>
  </conditionalFormatting>
  <conditionalFormatting sqref="AL7:AP13 AL22:AP26 AL21 AP21 AL14 AP14 AN14 AL32:AP37 AL31:AN31 AP31 AL28:AP30 AL27 AO27:AP27 AL15:AP15 AL17:AP20 AL16:AM16 AO16:AP16">
    <cfRule type="cellIs" dxfId="613" priority="943" stopIfTrue="1" operator="equal">
      <formula>"S"</formula>
    </cfRule>
    <cfRule type="cellIs" dxfId="612" priority="944" stopIfTrue="1" operator="equal">
      <formula>"D"</formula>
    </cfRule>
  </conditionalFormatting>
  <conditionalFormatting sqref="AM29">
    <cfRule type="cellIs" dxfId="611" priority="941" stopIfTrue="1" operator="equal">
      <formula>"S"</formula>
    </cfRule>
    <cfRule type="cellIs" dxfId="610" priority="942" stopIfTrue="1" operator="equal">
      <formula>"D"</formula>
    </cfRule>
  </conditionalFormatting>
  <conditionalFormatting sqref="AM29">
    <cfRule type="cellIs" dxfId="609" priority="939" stopIfTrue="1" operator="equal">
      <formula>"S"</formula>
    </cfRule>
    <cfRule type="cellIs" dxfId="608" priority="940" stopIfTrue="1" operator="equal">
      <formula>"D"</formula>
    </cfRule>
  </conditionalFormatting>
  <conditionalFormatting sqref="AM30">
    <cfRule type="cellIs" dxfId="607" priority="937" stopIfTrue="1" operator="equal">
      <formula>"S"</formula>
    </cfRule>
    <cfRule type="cellIs" dxfId="606" priority="938" stopIfTrue="1" operator="equal">
      <formula>"D"</formula>
    </cfRule>
  </conditionalFormatting>
  <conditionalFormatting sqref="AM30">
    <cfRule type="cellIs" dxfId="605" priority="935" stopIfTrue="1" operator="equal">
      <formula>"S"</formula>
    </cfRule>
    <cfRule type="cellIs" dxfId="604" priority="936" stopIfTrue="1" operator="equal">
      <formula>"D"</formula>
    </cfRule>
  </conditionalFormatting>
  <conditionalFormatting sqref="AN15">
    <cfRule type="cellIs" dxfId="603" priority="933" stopIfTrue="1" operator="equal">
      <formula>"S"</formula>
    </cfRule>
    <cfRule type="cellIs" dxfId="602" priority="934" stopIfTrue="1" operator="equal">
      <formula>"D"</formula>
    </cfRule>
  </conditionalFormatting>
  <conditionalFormatting sqref="AN20">
    <cfRule type="cellIs" dxfId="601" priority="931" stopIfTrue="1" operator="equal">
      <formula>"S"</formula>
    </cfRule>
    <cfRule type="cellIs" dxfId="600" priority="932" stopIfTrue="1" operator="equal">
      <formula>"D"</formula>
    </cfRule>
  </conditionalFormatting>
  <conditionalFormatting sqref="AL21">
    <cfRule type="cellIs" dxfId="599" priority="929" stopIfTrue="1" operator="equal">
      <formula>"S"</formula>
    </cfRule>
    <cfRule type="cellIs" dxfId="598" priority="930" stopIfTrue="1" operator="equal">
      <formula>"D"</formula>
    </cfRule>
  </conditionalFormatting>
  <conditionalFormatting sqref="AP29">
    <cfRule type="cellIs" dxfId="597" priority="927" stopIfTrue="1" operator="equal">
      <formula>"S"</formula>
    </cfRule>
    <cfRule type="cellIs" dxfId="596" priority="928" stopIfTrue="1" operator="equal">
      <formula>"D"</formula>
    </cfRule>
  </conditionalFormatting>
  <conditionalFormatting sqref="AP29">
    <cfRule type="cellIs" dxfId="595" priority="925" stopIfTrue="1" operator="equal">
      <formula>"S"</formula>
    </cfRule>
    <cfRule type="cellIs" dxfId="594" priority="926" stopIfTrue="1" operator="equal">
      <formula>"D"</formula>
    </cfRule>
  </conditionalFormatting>
  <conditionalFormatting sqref="AP30">
    <cfRule type="cellIs" dxfId="593" priority="923" stopIfTrue="1" operator="equal">
      <formula>"S"</formula>
    </cfRule>
    <cfRule type="cellIs" dxfId="592" priority="924" stopIfTrue="1" operator="equal">
      <formula>"D"</formula>
    </cfRule>
  </conditionalFormatting>
  <conditionalFormatting sqref="AP30">
    <cfRule type="cellIs" dxfId="591" priority="921" stopIfTrue="1" operator="equal">
      <formula>"S"</formula>
    </cfRule>
    <cfRule type="cellIs" dxfId="590" priority="922" stopIfTrue="1" operator="equal">
      <formula>"D"</formula>
    </cfRule>
  </conditionalFormatting>
  <conditionalFormatting sqref="AN13">
    <cfRule type="cellIs" dxfId="589" priority="919" stopIfTrue="1" operator="equal">
      <formula>"S"</formula>
    </cfRule>
    <cfRule type="cellIs" dxfId="588" priority="920" stopIfTrue="1" operator="equal">
      <formula>"D"</formula>
    </cfRule>
  </conditionalFormatting>
  <conditionalFormatting sqref="AN13">
    <cfRule type="cellIs" dxfId="587" priority="917" stopIfTrue="1" operator="equal">
      <formula>"S"</formula>
    </cfRule>
    <cfRule type="cellIs" dxfId="586" priority="918" stopIfTrue="1" operator="equal">
      <formula>"D"</formula>
    </cfRule>
  </conditionalFormatting>
  <conditionalFormatting sqref="AN14">
    <cfRule type="cellIs" dxfId="585" priority="915" stopIfTrue="1" operator="equal">
      <formula>"S"</formula>
    </cfRule>
    <cfRule type="cellIs" dxfId="584" priority="916" stopIfTrue="1" operator="equal">
      <formula>"D"</formula>
    </cfRule>
  </conditionalFormatting>
  <conditionalFormatting sqref="AN14">
    <cfRule type="cellIs" dxfId="583" priority="913" stopIfTrue="1" operator="equal">
      <formula>"S"</formula>
    </cfRule>
    <cfRule type="cellIs" dxfId="582" priority="914" stopIfTrue="1" operator="equal">
      <formula>"D"</formula>
    </cfRule>
  </conditionalFormatting>
  <conditionalFormatting sqref="AM27:AN27">
    <cfRule type="cellIs" dxfId="581" priority="909" stopIfTrue="1" operator="equal">
      <formula>"S"</formula>
    </cfRule>
    <cfRule type="cellIs" dxfId="580" priority="910" stopIfTrue="1" operator="equal">
      <formula>"D"</formula>
    </cfRule>
  </conditionalFormatting>
  <conditionalFormatting sqref="AM27:AN27">
    <cfRule type="cellIs" dxfId="579" priority="907" stopIfTrue="1" operator="equal">
      <formula>"S"</formula>
    </cfRule>
    <cfRule type="cellIs" dxfId="578" priority="908" stopIfTrue="1" operator="equal">
      <formula>"D"</formula>
    </cfRule>
  </conditionalFormatting>
  <conditionalFormatting sqref="AM27:AN27">
    <cfRule type="cellIs" dxfId="577" priority="905" stopIfTrue="1" operator="equal">
      <formula>"S"</formula>
    </cfRule>
    <cfRule type="cellIs" dxfId="576" priority="906" stopIfTrue="1" operator="equal">
      <formula>"D"</formula>
    </cfRule>
  </conditionalFormatting>
  <conditionalFormatting sqref="AM27:AN27">
    <cfRule type="cellIs" dxfId="575" priority="903" stopIfTrue="1" operator="equal">
      <formula>"S"</formula>
    </cfRule>
    <cfRule type="cellIs" dxfId="574" priority="904" stopIfTrue="1" operator="equal">
      <formula>"D"</formula>
    </cfRule>
  </conditionalFormatting>
  <conditionalFormatting sqref="AM27:AN27">
    <cfRule type="cellIs" dxfId="573" priority="911" stopIfTrue="1" operator="equal">
      <formula>"S"</formula>
    </cfRule>
    <cfRule type="cellIs" dxfId="572" priority="912" stopIfTrue="1" operator="equal">
      <formula>"D"</formula>
    </cfRule>
  </conditionalFormatting>
  <conditionalFormatting sqref="AT32:AX33 AT37:AX37 AV36:AX36 AT31 AX31 AW29 AW34:AX34 AX35">
    <cfRule type="cellIs" dxfId="571" priority="901" stopIfTrue="1" operator="equal">
      <formula>"S"</formula>
    </cfRule>
    <cfRule type="cellIs" dxfId="570" priority="902" stopIfTrue="1" operator="equal">
      <formula>"D"</formula>
    </cfRule>
  </conditionalFormatting>
  <conditionalFormatting sqref="AT30">
    <cfRule type="cellIs" dxfId="569" priority="899" stopIfTrue="1" operator="equal">
      <formula>"S"</formula>
    </cfRule>
    <cfRule type="cellIs" dxfId="568" priority="900" stopIfTrue="1" operator="equal">
      <formula>"D"</formula>
    </cfRule>
  </conditionalFormatting>
  <conditionalFormatting sqref="AT30">
    <cfRule type="cellIs" dxfId="567" priority="897" stopIfTrue="1" operator="equal">
      <formula>"S"</formula>
    </cfRule>
    <cfRule type="cellIs" dxfId="566" priority="898" stopIfTrue="1" operator="equal">
      <formula>"D"</formula>
    </cfRule>
  </conditionalFormatting>
  <conditionalFormatting sqref="AV29">
    <cfRule type="cellIs" dxfId="565" priority="895" stopIfTrue="1" operator="equal">
      <formula>"S"</formula>
    </cfRule>
    <cfRule type="cellIs" dxfId="564" priority="896" stopIfTrue="1" operator="equal">
      <formula>"D"</formula>
    </cfRule>
  </conditionalFormatting>
  <conditionalFormatting sqref="AV30">
    <cfRule type="cellIs" dxfId="563" priority="891" stopIfTrue="1" operator="equal">
      <formula>"S"</formula>
    </cfRule>
    <cfRule type="cellIs" dxfId="562" priority="892" stopIfTrue="1" operator="equal">
      <formula>"D"</formula>
    </cfRule>
  </conditionalFormatting>
  <conditionalFormatting sqref="AU35">
    <cfRule type="cellIs" dxfId="561" priority="885" stopIfTrue="1" operator="equal">
      <formula>"S"</formula>
    </cfRule>
    <cfRule type="cellIs" dxfId="560" priority="886" stopIfTrue="1" operator="equal">
      <formula>"D"</formula>
    </cfRule>
  </conditionalFormatting>
  <conditionalFormatting sqref="AU35">
    <cfRule type="cellIs" dxfId="559" priority="883" stopIfTrue="1" operator="equal">
      <formula>"S"</formula>
    </cfRule>
    <cfRule type="cellIs" dxfId="558" priority="884" stopIfTrue="1" operator="equal">
      <formula>"D"</formula>
    </cfRule>
  </conditionalFormatting>
  <conditionalFormatting sqref="AU34">
    <cfRule type="cellIs" dxfId="557" priority="881" stopIfTrue="1" operator="equal">
      <formula>"S"</formula>
    </cfRule>
    <cfRule type="cellIs" dxfId="556" priority="882" stopIfTrue="1" operator="equal">
      <formula>"D"</formula>
    </cfRule>
  </conditionalFormatting>
  <conditionalFormatting sqref="AT36">
    <cfRule type="cellIs" dxfId="555" priority="879" stopIfTrue="1" operator="equal">
      <formula>"S"</formula>
    </cfRule>
    <cfRule type="cellIs" dxfId="554" priority="880" stopIfTrue="1" operator="equal">
      <formula>"D"</formula>
    </cfRule>
  </conditionalFormatting>
  <conditionalFormatting sqref="AT36">
    <cfRule type="cellIs" dxfId="553" priority="877" stopIfTrue="1" operator="equal">
      <formula>"S"</formula>
    </cfRule>
    <cfRule type="cellIs" dxfId="552" priority="878" stopIfTrue="1" operator="equal">
      <formula>"D"</formula>
    </cfRule>
  </conditionalFormatting>
  <conditionalFormatting sqref="AU36">
    <cfRule type="cellIs" dxfId="551" priority="875" stopIfTrue="1" operator="equal">
      <formula>"S"</formula>
    </cfRule>
    <cfRule type="cellIs" dxfId="550" priority="876" stopIfTrue="1" operator="equal">
      <formula>"D"</formula>
    </cfRule>
  </conditionalFormatting>
  <conditionalFormatting sqref="AU36">
    <cfRule type="cellIs" dxfId="549" priority="873" stopIfTrue="1" operator="equal">
      <formula>"S"</formula>
    </cfRule>
    <cfRule type="cellIs" dxfId="548" priority="874" stopIfTrue="1" operator="equal">
      <formula>"D"</formula>
    </cfRule>
  </conditionalFormatting>
  <conditionalFormatting sqref="AW30">
    <cfRule type="cellIs" dxfId="547" priority="893" stopIfTrue="1" operator="equal">
      <formula>"S"</formula>
    </cfRule>
    <cfRule type="cellIs" dxfId="546" priority="894" stopIfTrue="1" operator="equal">
      <formula>"D"</formula>
    </cfRule>
  </conditionalFormatting>
  <conditionalFormatting sqref="AT35">
    <cfRule type="cellIs" dxfId="545" priority="889" stopIfTrue="1" operator="equal">
      <formula>"S"</formula>
    </cfRule>
    <cfRule type="cellIs" dxfId="544" priority="890" stopIfTrue="1" operator="equal">
      <formula>"D"</formula>
    </cfRule>
  </conditionalFormatting>
  <conditionalFormatting sqref="AT35">
    <cfRule type="cellIs" dxfId="543" priority="887" stopIfTrue="1" operator="equal">
      <formula>"S"</formula>
    </cfRule>
    <cfRule type="cellIs" dxfId="542" priority="888" stopIfTrue="1" operator="equal">
      <formula>"D"</formula>
    </cfRule>
  </conditionalFormatting>
  <conditionalFormatting sqref="AT34">
    <cfRule type="cellIs" dxfId="541" priority="871" stopIfTrue="1" operator="equal">
      <formula>"S"</formula>
    </cfRule>
    <cfRule type="cellIs" dxfId="540" priority="872" stopIfTrue="1" operator="equal">
      <formula>"D"</formula>
    </cfRule>
  </conditionalFormatting>
  <conditionalFormatting sqref="AU31:AV31">
    <cfRule type="cellIs" dxfId="539" priority="869" stopIfTrue="1" operator="equal">
      <formula>"S"</formula>
    </cfRule>
    <cfRule type="cellIs" dxfId="538" priority="870" stopIfTrue="1" operator="equal">
      <formula>"D"</formula>
    </cfRule>
  </conditionalFormatting>
  <conditionalFormatting sqref="AT29">
    <cfRule type="cellIs" dxfId="537" priority="867" stopIfTrue="1" operator="equal">
      <formula>"S"</formula>
    </cfRule>
    <cfRule type="cellIs" dxfId="536" priority="868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35" priority="865" stopIfTrue="1" operator="equal">
      <formula>"S"</formula>
    </cfRule>
    <cfRule type="cellIs" dxfId="534" priority="866" stopIfTrue="1" operator="equal">
      <formula>"D"</formula>
    </cfRule>
  </conditionalFormatting>
  <conditionalFormatting sqref="AU29">
    <cfRule type="cellIs" dxfId="533" priority="863" stopIfTrue="1" operator="equal">
      <formula>"S"</formula>
    </cfRule>
    <cfRule type="cellIs" dxfId="532" priority="864" stopIfTrue="1" operator="equal">
      <formula>"D"</formula>
    </cfRule>
  </conditionalFormatting>
  <conditionalFormatting sqref="AU29">
    <cfRule type="cellIs" dxfId="531" priority="861" stopIfTrue="1" operator="equal">
      <formula>"S"</formula>
    </cfRule>
    <cfRule type="cellIs" dxfId="530" priority="862" stopIfTrue="1" operator="equal">
      <formula>"D"</formula>
    </cfRule>
  </conditionalFormatting>
  <conditionalFormatting sqref="AU30">
    <cfRule type="cellIs" dxfId="529" priority="859" stopIfTrue="1" operator="equal">
      <formula>"S"</formula>
    </cfRule>
    <cfRule type="cellIs" dxfId="528" priority="860" stopIfTrue="1" operator="equal">
      <formula>"D"</formula>
    </cfRule>
  </conditionalFormatting>
  <conditionalFormatting sqref="AU30">
    <cfRule type="cellIs" dxfId="527" priority="857" stopIfTrue="1" operator="equal">
      <formula>"S"</formula>
    </cfRule>
    <cfRule type="cellIs" dxfId="526" priority="858" stopIfTrue="1" operator="equal">
      <formula>"D"</formula>
    </cfRule>
  </conditionalFormatting>
  <conditionalFormatting sqref="AV15">
    <cfRule type="cellIs" dxfId="525" priority="855" stopIfTrue="1" operator="equal">
      <formula>"S"</formula>
    </cfRule>
    <cfRule type="cellIs" dxfId="524" priority="856" stopIfTrue="1" operator="equal">
      <formula>"D"</formula>
    </cfRule>
  </conditionalFormatting>
  <conditionalFormatting sqref="AT21">
    <cfRule type="cellIs" dxfId="523" priority="851" stopIfTrue="1" operator="equal">
      <formula>"S"</formula>
    </cfRule>
    <cfRule type="cellIs" dxfId="522" priority="852" stopIfTrue="1" operator="equal">
      <formula>"D"</formula>
    </cfRule>
  </conditionalFormatting>
  <conditionalFormatting sqref="AX29">
    <cfRule type="cellIs" dxfId="521" priority="849" stopIfTrue="1" operator="equal">
      <formula>"S"</formula>
    </cfRule>
    <cfRule type="cellIs" dxfId="520" priority="850" stopIfTrue="1" operator="equal">
      <formula>"D"</formula>
    </cfRule>
  </conditionalFormatting>
  <conditionalFormatting sqref="AX29">
    <cfRule type="cellIs" dxfId="519" priority="847" stopIfTrue="1" operator="equal">
      <formula>"S"</formula>
    </cfRule>
    <cfRule type="cellIs" dxfId="518" priority="848" stopIfTrue="1" operator="equal">
      <formula>"D"</formula>
    </cfRule>
  </conditionalFormatting>
  <conditionalFormatting sqref="AX30">
    <cfRule type="cellIs" dxfId="517" priority="845" stopIfTrue="1" operator="equal">
      <formula>"S"</formula>
    </cfRule>
    <cfRule type="cellIs" dxfId="516" priority="846" stopIfTrue="1" operator="equal">
      <formula>"D"</formula>
    </cfRule>
  </conditionalFormatting>
  <conditionalFormatting sqref="AX30">
    <cfRule type="cellIs" dxfId="515" priority="843" stopIfTrue="1" operator="equal">
      <formula>"S"</formula>
    </cfRule>
    <cfRule type="cellIs" dxfId="514" priority="844" stopIfTrue="1" operator="equal">
      <formula>"D"</formula>
    </cfRule>
  </conditionalFormatting>
  <conditionalFormatting sqref="AV13">
    <cfRule type="cellIs" dxfId="513" priority="841" stopIfTrue="1" operator="equal">
      <formula>"S"</formula>
    </cfRule>
    <cfRule type="cellIs" dxfId="512" priority="842" stopIfTrue="1" operator="equal">
      <formula>"D"</formula>
    </cfRule>
  </conditionalFormatting>
  <conditionalFormatting sqref="AV13">
    <cfRule type="cellIs" dxfId="511" priority="839" stopIfTrue="1" operator="equal">
      <formula>"S"</formula>
    </cfRule>
    <cfRule type="cellIs" dxfId="510" priority="840" stopIfTrue="1" operator="equal">
      <formula>"D"</formula>
    </cfRule>
  </conditionalFormatting>
  <conditionalFormatting sqref="AW14">
    <cfRule type="cellIs" dxfId="509" priority="837" stopIfTrue="1" operator="equal">
      <formula>"S"</formula>
    </cfRule>
    <cfRule type="cellIs" dxfId="508" priority="838" stopIfTrue="1" operator="equal">
      <formula>"D"</formula>
    </cfRule>
  </conditionalFormatting>
  <conditionalFormatting sqref="AW14">
    <cfRule type="cellIs" dxfId="507" priority="835" stopIfTrue="1" operator="equal">
      <formula>"S"</formula>
    </cfRule>
    <cfRule type="cellIs" dxfId="506" priority="836" stopIfTrue="1" operator="equal">
      <formula>"D"</formula>
    </cfRule>
  </conditionalFormatting>
  <conditionalFormatting sqref="AU27:AV27">
    <cfRule type="cellIs" dxfId="505" priority="831" stopIfTrue="1" operator="equal">
      <formula>"S"</formula>
    </cfRule>
    <cfRule type="cellIs" dxfId="504" priority="832" stopIfTrue="1" operator="equal">
      <formula>"D"</formula>
    </cfRule>
  </conditionalFormatting>
  <conditionalFormatting sqref="AU27:AV27">
    <cfRule type="cellIs" dxfId="503" priority="829" stopIfTrue="1" operator="equal">
      <formula>"S"</formula>
    </cfRule>
    <cfRule type="cellIs" dxfId="502" priority="830" stopIfTrue="1" operator="equal">
      <formula>"D"</formula>
    </cfRule>
  </conditionalFormatting>
  <conditionalFormatting sqref="AU27:AV27">
    <cfRule type="cellIs" dxfId="501" priority="827" stopIfTrue="1" operator="equal">
      <formula>"S"</formula>
    </cfRule>
    <cfRule type="cellIs" dxfId="500" priority="828" stopIfTrue="1" operator="equal">
      <formula>"D"</formula>
    </cfRule>
  </conditionalFormatting>
  <conditionalFormatting sqref="AU27:AV27">
    <cfRule type="cellIs" dxfId="499" priority="825" stopIfTrue="1" operator="equal">
      <formula>"S"</formula>
    </cfRule>
    <cfRule type="cellIs" dxfId="498" priority="826" stopIfTrue="1" operator="equal">
      <formula>"D"</formula>
    </cfRule>
  </conditionalFormatting>
  <conditionalFormatting sqref="AU27:AV27">
    <cfRule type="cellIs" dxfId="497" priority="833" stopIfTrue="1" operator="equal">
      <formula>"S"</formula>
    </cfRule>
    <cfRule type="cellIs" dxfId="496" priority="834" stopIfTrue="1" operator="equal">
      <formula>"D"</formula>
    </cfRule>
  </conditionalFormatting>
  <conditionalFormatting sqref="BB32:BF33 BB37:BF37 BD36:BF36 BB31 BF31 BE29 BE34:BF34 BF35">
    <cfRule type="cellIs" dxfId="495" priority="823" stopIfTrue="1" operator="equal">
      <formula>"S"</formula>
    </cfRule>
    <cfRule type="cellIs" dxfId="494" priority="824" stopIfTrue="1" operator="equal">
      <formula>"D"</formula>
    </cfRule>
  </conditionalFormatting>
  <conditionalFormatting sqref="BB30">
    <cfRule type="cellIs" dxfId="493" priority="821" stopIfTrue="1" operator="equal">
      <formula>"S"</formula>
    </cfRule>
    <cfRule type="cellIs" dxfId="492" priority="822" stopIfTrue="1" operator="equal">
      <formula>"D"</formula>
    </cfRule>
  </conditionalFormatting>
  <conditionalFormatting sqref="BB30">
    <cfRule type="cellIs" dxfId="491" priority="819" stopIfTrue="1" operator="equal">
      <formula>"S"</formula>
    </cfRule>
    <cfRule type="cellIs" dxfId="490" priority="820" stopIfTrue="1" operator="equal">
      <formula>"D"</formula>
    </cfRule>
  </conditionalFormatting>
  <conditionalFormatting sqref="BD29">
    <cfRule type="cellIs" dxfId="489" priority="817" stopIfTrue="1" operator="equal">
      <formula>"S"</formula>
    </cfRule>
    <cfRule type="cellIs" dxfId="488" priority="818" stopIfTrue="1" operator="equal">
      <formula>"D"</formula>
    </cfRule>
  </conditionalFormatting>
  <conditionalFormatting sqref="BD30">
    <cfRule type="cellIs" dxfId="487" priority="813" stopIfTrue="1" operator="equal">
      <formula>"S"</formula>
    </cfRule>
    <cfRule type="cellIs" dxfId="486" priority="814" stopIfTrue="1" operator="equal">
      <formula>"D"</formula>
    </cfRule>
  </conditionalFormatting>
  <conditionalFormatting sqref="BC35">
    <cfRule type="cellIs" dxfId="485" priority="807" stopIfTrue="1" operator="equal">
      <formula>"S"</formula>
    </cfRule>
    <cfRule type="cellIs" dxfId="484" priority="808" stopIfTrue="1" operator="equal">
      <formula>"D"</formula>
    </cfRule>
  </conditionalFormatting>
  <conditionalFormatting sqref="BC35">
    <cfRule type="cellIs" dxfId="483" priority="805" stopIfTrue="1" operator="equal">
      <formula>"S"</formula>
    </cfRule>
    <cfRule type="cellIs" dxfId="482" priority="806" stopIfTrue="1" operator="equal">
      <formula>"D"</formula>
    </cfRule>
  </conditionalFormatting>
  <conditionalFormatting sqref="BC34">
    <cfRule type="cellIs" dxfId="481" priority="803" stopIfTrue="1" operator="equal">
      <formula>"S"</formula>
    </cfRule>
    <cfRule type="cellIs" dxfId="480" priority="804" stopIfTrue="1" operator="equal">
      <formula>"D"</formula>
    </cfRule>
  </conditionalFormatting>
  <conditionalFormatting sqref="BB36">
    <cfRule type="cellIs" dxfId="479" priority="801" stopIfTrue="1" operator="equal">
      <formula>"S"</formula>
    </cfRule>
    <cfRule type="cellIs" dxfId="478" priority="802" stopIfTrue="1" operator="equal">
      <formula>"D"</formula>
    </cfRule>
  </conditionalFormatting>
  <conditionalFormatting sqref="BB36">
    <cfRule type="cellIs" dxfId="477" priority="799" stopIfTrue="1" operator="equal">
      <formula>"S"</formula>
    </cfRule>
    <cfRule type="cellIs" dxfId="476" priority="800" stopIfTrue="1" operator="equal">
      <formula>"D"</formula>
    </cfRule>
  </conditionalFormatting>
  <conditionalFormatting sqref="BC36">
    <cfRule type="cellIs" dxfId="475" priority="797" stopIfTrue="1" operator="equal">
      <formula>"S"</formula>
    </cfRule>
    <cfRule type="cellIs" dxfId="474" priority="798" stopIfTrue="1" operator="equal">
      <formula>"D"</formula>
    </cfRule>
  </conditionalFormatting>
  <conditionalFormatting sqref="BC36">
    <cfRule type="cellIs" dxfId="473" priority="795" stopIfTrue="1" operator="equal">
      <formula>"S"</formula>
    </cfRule>
    <cfRule type="cellIs" dxfId="472" priority="796" stopIfTrue="1" operator="equal">
      <formula>"D"</formula>
    </cfRule>
  </conditionalFormatting>
  <conditionalFormatting sqref="BE30">
    <cfRule type="cellIs" dxfId="471" priority="815" stopIfTrue="1" operator="equal">
      <formula>"S"</formula>
    </cfRule>
    <cfRule type="cellIs" dxfId="470" priority="816" stopIfTrue="1" operator="equal">
      <formula>"D"</formula>
    </cfRule>
  </conditionalFormatting>
  <conditionalFormatting sqref="BB35">
    <cfRule type="cellIs" dxfId="469" priority="811" stopIfTrue="1" operator="equal">
      <formula>"S"</formula>
    </cfRule>
    <cfRule type="cellIs" dxfId="468" priority="812" stopIfTrue="1" operator="equal">
      <formula>"D"</formula>
    </cfRule>
  </conditionalFormatting>
  <conditionalFormatting sqref="BB35">
    <cfRule type="cellIs" dxfId="467" priority="809" stopIfTrue="1" operator="equal">
      <formula>"S"</formula>
    </cfRule>
    <cfRule type="cellIs" dxfId="466" priority="810" stopIfTrue="1" operator="equal">
      <formula>"D"</formula>
    </cfRule>
  </conditionalFormatting>
  <conditionalFormatting sqref="BB34">
    <cfRule type="cellIs" dxfId="465" priority="793" stopIfTrue="1" operator="equal">
      <formula>"S"</formula>
    </cfRule>
    <cfRule type="cellIs" dxfId="464" priority="794" stopIfTrue="1" operator="equal">
      <formula>"D"</formula>
    </cfRule>
  </conditionalFormatting>
  <conditionalFormatting sqref="BC31:BD31">
    <cfRule type="cellIs" dxfId="463" priority="791" stopIfTrue="1" operator="equal">
      <formula>"S"</formula>
    </cfRule>
    <cfRule type="cellIs" dxfId="462" priority="792" stopIfTrue="1" operator="equal">
      <formula>"D"</formula>
    </cfRule>
  </conditionalFormatting>
  <conditionalFormatting sqref="BB29">
    <cfRule type="cellIs" dxfId="461" priority="789" stopIfTrue="1" operator="equal">
      <formula>"S"</formula>
    </cfRule>
    <cfRule type="cellIs" dxfId="460" priority="790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59" priority="787" stopIfTrue="1" operator="equal">
      <formula>"S"</formula>
    </cfRule>
    <cfRule type="cellIs" dxfId="458" priority="788" stopIfTrue="1" operator="equal">
      <formula>"D"</formula>
    </cfRule>
  </conditionalFormatting>
  <conditionalFormatting sqref="BC29">
    <cfRule type="cellIs" dxfId="457" priority="785" stopIfTrue="1" operator="equal">
      <formula>"S"</formula>
    </cfRule>
    <cfRule type="cellIs" dxfId="456" priority="786" stopIfTrue="1" operator="equal">
      <formula>"D"</formula>
    </cfRule>
  </conditionalFormatting>
  <conditionalFormatting sqref="BC29">
    <cfRule type="cellIs" dxfId="455" priority="783" stopIfTrue="1" operator="equal">
      <formula>"S"</formula>
    </cfRule>
    <cfRule type="cellIs" dxfId="454" priority="784" stopIfTrue="1" operator="equal">
      <formula>"D"</formula>
    </cfRule>
  </conditionalFormatting>
  <conditionalFormatting sqref="BC30">
    <cfRule type="cellIs" dxfId="453" priority="781" stopIfTrue="1" operator="equal">
      <formula>"S"</formula>
    </cfRule>
    <cfRule type="cellIs" dxfId="452" priority="782" stopIfTrue="1" operator="equal">
      <formula>"D"</formula>
    </cfRule>
  </conditionalFormatting>
  <conditionalFormatting sqref="BC30">
    <cfRule type="cellIs" dxfId="451" priority="779" stopIfTrue="1" operator="equal">
      <formula>"S"</formula>
    </cfRule>
    <cfRule type="cellIs" dxfId="450" priority="780" stopIfTrue="1" operator="equal">
      <formula>"D"</formula>
    </cfRule>
  </conditionalFormatting>
  <conditionalFormatting sqref="BD15">
    <cfRule type="cellIs" dxfId="449" priority="777" stopIfTrue="1" operator="equal">
      <formula>"S"</formula>
    </cfRule>
    <cfRule type="cellIs" dxfId="448" priority="778" stopIfTrue="1" operator="equal">
      <formula>"D"</formula>
    </cfRule>
  </conditionalFormatting>
  <conditionalFormatting sqref="BB21">
    <cfRule type="cellIs" dxfId="447" priority="773" stopIfTrue="1" operator="equal">
      <formula>"S"</formula>
    </cfRule>
    <cfRule type="cellIs" dxfId="446" priority="774" stopIfTrue="1" operator="equal">
      <formula>"D"</formula>
    </cfRule>
  </conditionalFormatting>
  <conditionalFormatting sqref="BF29">
    <cfRule type="cellIs" dxfId="445" priority="771" stopIfTrue="1" operator="equal">
      <formula>"S"</formula>
    </cfRule>
    <cfRule type="cellIs" dxfId="444" priority="772" stopIfTrue="1" operator="equal">
      <formula>"D"</formula>
    </cfRule>
  </conditionalFormatting>
  <conditionalFormatting sqref="BF29">
    <cfRule type="cellIs" dxfId="443" priority="769" stopIfTrue="1" operator="equal">
      <formula>"S"</formula>
    </cfRule>
    <cfRule type="cellIs" dxfId="442" priority="770" stopIfTrue="1" operator="equal">
      <formula>"D"</formula>
    </cfRule>
  </conditionalFormatting>
  <conditionalFormatting sqref="BF30">
    <cfRule type="cellIs" dxfId="441" priority="767" stopIfTrue="1" operator="equal">
      <formula>"S"</formula>
    </cfRule>
    <cfRule type="cellIs" dxfId="440" priority="768" stopIfTrue="1" operator="equal">
      <formula>"D"</formula>
    </cfRule>
  </conditionalFormatting>
  <conditionalFormatting sqref="BF30">
    <cfRule type="cellIs" dxfId="439" priority="765" stopIfTrue="1" operator="equal">
      <formula>"S"</formula>
    </cfRule>
    <cfRule type="cellIs" dxfId="438" priority="766" stopIfTrue="1" operator="equal">
      <formula>"D"</formula>
    </cfRule>
  </conditionalFormatting>
  <conditionalFormatting sqref="BD13">
    <cfRule type="cellIs" dxfId="437" priority="763" stopIfTrue="1" operator="equal">
      <formula>"S"</formula>
    </cfRule>
    <cfRule type="cellIs" dxfId="436" priority="764" stopIfTrue="1" operator="equal">
      <formula>"D"</formula>
    </cfRule>
  </conditionalFormatting>
  <conditionalFormatting sqref="BD13">
    <cfRule type="cellIs" dxfId="435" priority="761" stopIfTrue="1" operator="equal">
      <formula>"S"</formula>
    </cfRule>
    <cfRule type="cellIs" dxfId="434" priority="762" stopIfTrue="1" operator="equal">
      <formula>"D"</formula>
    </cfRule>
  </conditionalFormatting>
  <conditionalFormatting sqref="BD14">
    <cfRule type="cellIs" dxfId="433" priority="759" stopIfTrue="1" operator="equal">
      <formula>"S"</formula>
    </cfRule>
    <cfRule type="cellIs" dxfId="432" priority="760" stopIfTrue="1" operator="equal">
      <formula>"D"</formula>
    </cfRule>
  </conditionalFormatting>
  <conditionalFormatting sqref="BD14">
    <cfRule type="cellIs" dxfId="431" priority="757" stopIfTrue="1" operator="equal">
      <formula>"S"</formula>
    </cfRule>
    <cfRule type="cellIs" dxfId="430" priority="758" stopIfTrue="1" operator="equal">
      <formula>"D"</formula>
    </cfRule>
  </conditionalFormatting>
  <conditionalFormatting sqref="BC27:BD27">
    <cfRule type="cellIs" dxfId="429" priority="753" stopIfTrue="1" operator="equal">
      <formula>"S"</formula>
    </cfRule>
    <cfRule type="cellIs" dxfId="428" priority="754" stopIfTrue="1" operator="equal">
      <formula>"D"</formula>
    </cfRule>
  </conditionalFormatting>
  <conditionalFormatting sqref="BC27:BD27">
    <cfRule type="cellIs" dxfId="427" priority="751" stopIfTrue="1" operator="equal">
      <formula>"S"</formula>
    </cfRule>
    <cfRule type="cellIs" dxfId="426" priority="752" stopIfTrue="1" operator="equal">
      <formula>"D"</formula>
    </cfRule>
  </conditionalFormatting>
  <conditionalFormatting sqref="BC27:BD27">
    <cfRule type="cellIs" dxfId="425" priority="749" stopIfTrue="1" operator="equal">
      <formula>"S"</formula>
    </cfRule>
    <cfRule type="cellIs" dxfId="424" priority="750" stopIfTrue="1" operator="equal">
      <formula>"D"</formula>
    </cfRule>
  </conditionalFormatting>
  <conditionalFormatting sqref="BC27:BD27">
    <cfRule type="cellIs" dxfId="423" priority="747" stopIfTrue="1" operator="equal">
      <formula>"S"</formula>
    </cfRule>
    <cfRule type="cellIs" dxfId="422" priority="748" stopIfTrue="1" operator="equal">
      <formula>"D"</formula>
    </cfRule>
  </conditionalFormatting>
  <conditionalFormatting sqref="BC27:BD27">
    <cfRule type="cellIs" dxfId="421" priority="755" stopIfTrue="1" operator="equal">
      <formula>"S"</formula>
    </cfRule>
    <cfRule type="cellIs" dxfId="420" priority="756" stopIfTrue="1" operator="equal">
      <formula>"D"</formula>
    </cfRule>
  </conditionalFormatting>
  <conditionalFormatting sqref="BJ32:BN33 BJ37:BN37 BL36:BN36 BJ31 BN31 BM29 BM34:BN34 BN35">
    <cfRule type="cellIs" dxfId="419" priority="745" stopIfTrue="1" operator="equal">
      <formula>"S"</formula>
    </cfRule>
    <cfRule type="cellIs" dxfId="418" priority="746" stopIfTrue="1" operator="equal">
      <formula>"D"</formula>
    </cfRule>
  </conditionalFormatting>
  <conditionalFormatting sqref="BJ30">
    <cfRule type="cellIs" dxfId="417" priority="743" stopIfTrue="1" operator="equal">
      <formula>"S"</formula>
    </cfRule>
    <cfRule type="cellIs" dxfId="416" priority="744" stopIfTrue="1" operator="equal">
      <formula>"D"</formula>
    </cfRule>
  </conditionalFormatting>
  <conditionalFormatting sqref="BJ30">
    <cfRule type="cellIs" dxfId="415" priority="741" stopIfTrue="1" operator="equal">
      <formula>"S"</formula>
    </cfRule>
    <cfRule type="cellIs" dxfId="414" priority="742" stopIfTrue="1" operator="equal">
      <formula>"D"</formula>
    </cfRule>
  </conditionalFormatting>
  <conditionalFormatting sqref="BL29">
    <cfRule type="cellIs" dxfId="413" priority="739" stopIfTrue="1" operator="equal">
      <formula>"S"</formula>
    </cfRule>
    <cfRule type="cellIs" dxfId="412" priority="740" stopIfTrue="1" operator="equal">
      <formula>"D"</formula>
    </cfRule>
  </conditionalFormatting>
  <conditionalFormatting sqref="BL30">
    <cfRule type="cellIs" dxfId="411" priority="735" stopIfTrue="1" operator="equal">
      <formula>"S"</formula>
    </cfRule>
    <cfRule type="cellIs" dxfId="410" priority="736" stopIfTrue="1" operator="equal">
      <formula>"D"</formula>
    </cfRule>
  </conditionalFormatting>
  <conditionalFormatting sqref="BK35">
    <cfRule type="cellIs" dxfId="409" priority="729" stopIfTrue="1" operator="equal">
      <formula>"S"</formula>
    </cfRule>
    <cfRule type="cellIs" dxfId="408" priority="730" stopIfTrue="1" operator="equal">
      <formula>"D"</formula>
    </cfRule>
  </conditionalFormatting>
  <conditionalFormatting sqref="BK35">
    <cfRule type="cellIs" dxfId="407" priority="727" stopIfTrue="1" operator="equal">
      <formula>"S"</formula>
    </cfRule>
    <cfRule type="cellIs" dxfId="406" priority="728" stopIfTrue="1" operator="equal">
      <formula>"D"</formula>
    </cfRule>
  </conditionalFormatting>
  <conditionalFormatting sqref="BK34">
    <cfRule type="cellIs" dxfId="405" priority="725" stopIfTrue="1" operator="equal">
      <formula>"S"</formula>
    </cfRule>
    <cfRule type="cellIs" dxfId="404" priority="726" stopIfTrue="1" operator="equal">
      <formula>"D"</formula>
    </cfRule>
  </conditionalFormatting>
  <conditionalFormatting sqref="BJ36">
    <cfRule type="cellIs" dxfId="403" priority="723" stopIfTrue="1" operator="equal">
      <formula>"S"</formula>
    </cfRule>
    <cfRule type="cellIs" dxfId="402" priority="724" stopIfTrue="1" operator="equal">
      <formula>"D"</formula>
    </cfRule>
  </conditionalFormatting>
  <conditionalFormatting sqref="BJ36">
    <cfRule type="cellIs" dxfId="401" priority="721" stopIfTrue="1" operator="equal">
      <formula>"S"</formula>
    </cfRule>
    <cfRule type="cellIs" dxfId="400" priority="722" stopIfTrue="1" operator="equal">
      <formula>"D"</formula>
    </cfRule>
  </conditionalFormatting>
  <conditionalFormatting sqref="BK36">
    <cfRule type="cellIs" dxfId="399" priority="719" stopIfTrue="1" operator="equal">
      <formula>"S"</formula>
    </cfRule>
    <cfRule type="cellIs" dxfId="398" priority="720" stopIfTrue="1" operator="equal">
      <formula>"D"</formula>
    </cfRule>
  </conditionalFormatting>
  <conditionalFormatting sqref="BK36">
    <cfRule type="cellIs" dxfId="397" priority="717" stopIfTrue="1" operator="equal">
      <formula>"S"</formula>
    </cfRule>
    <cfRule type="cellIs" dxfId="396" priority="718" stopIfTrue="1" operator="equal">
      <formula>"D"</formula>
    </cfRule>
  </conditionalFormatting>
  <conditionalFormatting sqref="BM30">
    <cfRule type="cellIs" dxfId="395" priority="737" stopIfTrue="1" operator="equal">
      <formula>"S"</formula>
    </cfRule>
    <cfRule type="cellIs" dxfId="394" priority="738" stopIfTrue="1" operator="equal">
      <formula>"D"</formula>
    </cfRule>
  </conditionalFormatting>
  <conditionalFormatting sqref="BJ35">
    <cfRule type="cellIs" dxfId="393" priority="733" stopIfTrue="1" operator="equal">
      <formula>"S"</formula>
    </cfRule>
    <cfRule type="cellIs" dxfId="392" priority="734" stopIfTrue="1" operator="equal">
      <formula>"D"</formula>
    </cfRule>
  </conditionalFormatting>
  <conditionalFormatting sqref="BJ35">
    <cfRule type="cellIs" dxfId="391" priority="731" stopIfTrue="1" operator="equal">
      <formula>"S"</formula>
    </cfRule>
    <cfRule type="cellIs" dxfId="390" priority="732" stopIfTrue="1" operator="equal">
      <formula>"D"</formula>
    </cfRule>
  </conditionalFormatting>
  <conditionalFormatting sqref="BJ34">
    <cfRule type="cellIs" dxfId="389" priority="715" stopIfTrue="1" operator="equal">
      <formula>"S"</formula>
    </cfRule>
    <cfRule type="cellIs" dxfId="388" priority="716" stopIfTrue="1" operator="equal">
      <formula>"D"</formula>
    </cfRule>
  </conditionalFormatting>
  <conditionalFormatting sqref="BK31:BL31">
    <cfRule type="cellIs" dxfId="387" priority="713" stopIfTrue="1" operator="equal">
      <formula>"S"</formula>
    </cfRule>
    <cfRule type="cellIs" dxfId="386" priority="714" stopIfTrue="1" operator="equal">
      <formula>"D"</formula>
    </cfRule>
  </conditionalFormatting>
  <conditionalFormatting sqref="BJ29">
    <cfRule type="cellIs" dxfId="385" priority="711" stopIfTrue="1" operator="equal">
      <formula>"S"</formula>
    </cfRule>
    <cfRule type="cellIs" dxfId="384" priority="712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83" priority="709" stopIfTrue="1" operator="equal">
      <formula>"S"</formula>
    </cfRule>
    <cfRule type="cellIs" dxfId="382" priority="710" stopIfTrue="1" operator="equal">
      <formula>"D"</formula>
    </cfRule>
  </conditionalFormatting>
  <conditionalFormatting sqref="BK29">
    <cfRule type="cellIs" dxfId="381" priority="707" stopIfTrue="1" operator="equal">
      <formula>"S"</formula>
    </cfRule>
    <cfRule type="cellIs" dxfId="380" priority="708" stopIfTrue="1" operator="equal">
      <formula>"D"</formula>
    </cfRule>
  </conditionalFormatting>
  <conditionalFormatting sqref="BK29">
    <cfRule type="cellIs" dxfId="379" priority="705" stopIfTrue="1" operator="equal">
      <formula>"S"</formula>
    </cfRule>
    <cfRule type="cellIs" dxfId="378" priority="706" stopIfTrue="1" operator="equal">
      <formula>"D"</formula>
    </cfRule>
  </conditionalFormatting>
  <conditionalFormatting sqref="BK30">
    <cfRule type="cellIs" dxfId="377" priority="703" stopIfTrue="1" operator="equal">
      <formula>"S"</formula>
    </cfRule>
    <cfRule type="cellIs" dxfId="376" priority="704" stopIfTrue="1" operator="equal">
      <formula>"D"</formula>
    </cfRule>
  </conditionalFormatting>
  <conditionalFormatting sqref="BK30">
    <cfRule type="cellIs" dxfId="375" priority="701" stopIfTrue="1" operator="equal">
      <formula>"S"</formula>
    </cfRule>
    <cfRule type="cellIs" dxfId="374" priority="702" stopIfTrue="1" operator="equal">
      <formula>"D"</formula>
    </cfRule>
  </conditionalFormatting>
  <conditionalFormatting sqref="BL15">
    <cfRule type="cellIs" dxfId="373" priority="699" stopIfTrue="1" operator="equal">
      <formula>"S"</formula>
    </cfRule>
    <cfRule type="cellIs" dxfId="372" priority="700" stopIfTrue="1" operator="equal">
      <formula>"D"</formula>
    </cfRule>
  </conditionalFormatting>
  <conditionalFormatting sqref="BJ21">
    <cfRule type="cellIs" dxfId="371" priority="695" stopIfTrue="1" operator="equal">
      <formula>"S"</formula>
    </cfRule>
    <cfRule type="cellIs" dxfId="370" priority="696" stopIfTrue="1" operator="equal">
      <formula>"D"</formula>
    </cfRule>
  </conditionalFormatting>
  <conditionalFormatting sqref="BN29">
    <cfRule type="cellIs" dxfId="369" priority="693" stopIfTrue="1" operator="equal">
      <formula>"S"</formula>
    </cfRule>
    <cfRule type="cellIs" dxfId="368" priority="694" stopIfTrue="1" operator="equal">
      <formula>"D"</formula>
    </cfRule>
  </conditionalFormatting>
  <conditionalFormatting sqref="BN29">
    <cfRule type="cellIs" dxfId="367" priority="691" stopIfTrue="1" operator="equal">
      <formula>"S"</formula>
    </cfRule>
    <cfRule type="cellIs" dxfId="366" priority="692" stopIfTrue="1" operator="equal">
      <formula>"D"</formula>
    </cfRule>
  </conditionalFormatting>
  <conditionalFormatting sqref="BN30">
    <cfRule type="cellIs" dxfId="365" priority="689" stopIfTrue="1" operator="equal">
      <formula>"S"</formula>
    </cfRule>
    <cfRule type="cellIs" dxfId="364" priority="690" stopIfTrue="1" operator="equal">
      <formula>"D"</formula>
    </cfRule>
  </conditionalFormatting>
  <conditionalFormatting sqref="BN30">
    <cfRule type="cellIs" dxfId="363" priority="687" stopIfTrue="1" operator="equal">
      <formula>"S"</formula>
    </cfRule>
    <cfRule type="cellIs" dxfId="362" priority="688" stopIfTrue="1" operator="equal">
      <formula>"D"</formula>
    </cfRule>
  </conditionalFormatting>
  <conditionalFormatting sqref="BL13">
    <cfRule type="cellIs" dxfId="361" priority="685" stopIfTrue="1" operator="equal">
      <formula>"S"</formula>
    </cfRule>
    <cfRule type="cellIs" dxfId="360" priority="686" stopIfTrue="1" operator="equal">
      <formula>"D"</formula>
    </cfRule>
  </conditionalFormatting>
  <conditionalFormatting sqref="BL13">
    <cfRule type="cellIs" dxfId="359" priority="683" stopIfTrue="1" operator="equal">
      <formula>"S"</formula>
    </cfRule>
    <cfRule type="cellIs" dxfId="358" priority="684" stopIfTrue="1" operator="equal">
      <formula>"D"</formula>
    </cfRule>
  </conditionalFormatting>
  <conditionalFormatting sqref="BL14">
    <cfRule type="cellIs" dxfId="357" priority="681" stopIfTrue="1" operator="equal">
      <formula>"S"</formula>
    </cfRule>
    <cfRule type="cellIs" dxfId="356" priority="682" stopIfTrue="1" operator="equal">
      <formula>"D"</formula>
    </cfRule>
  </conditionalFormatting>
  <conditionalFormatting sqref="BL14">
    <cfRule type="cellIs" dxfId="355" priority="679" stopIfTrue="1" operator="equal">
      <formula>"S"</formula>
    </cfRule>
    <cfRule type="cellIs" dxfId="354" priority="680" stopIfTrue="1" operator="equal">
      <formula>"D"</formula>
    </cfRule>
  </conditionalFormatting>
  <conditionalFormatting sqref="BK27:BL27">
    <cfRule type="cellIs" dxfId="353" priority="675" stopIfTrue="1" operator="equal">
      <formula>"S"</formula>
    </cfRule>
    <cfRule type="cellIs" dxfId="352" priority="676" stopIfTrue="1" operator="equal">
      <formula>"D"</formula>
    </cfRule>
  </conditionalFormatting>
  <conditionalFormatting sqref="BK27:BL27">
    <cfRule type="cellIs" dxfId="351" priority="673" stopIfTrue="1" operator="equal">
      <formula>"S"</formula>
    </cfRule>
    <cfRule type="cellIs" dxfId="350" priority="674" stopIfTrue="1" operator="equal">
      <formula>"D"</formula>
    </cfRule>
  </conditionalFormatting>
  <conditionalFormatting sqref="BK27:BL27">
    <cfRule type="cellIs" dxfId="349" priority="671" stopIfTrue="1" operator="equal">
      <formula>"S"</formula>
    </cfRule>
    <cfRule type="cellIs" dxfId="348" priority="672" stopIfTrue="1" operator="equal">
      <formula>"D"</formula>
    </cfRule>
  </conditionalFormatting>
  <conditionalFormatting sqref="BK27:BL27">
    <cfRule type="cellIs" dxfId="347" priority="669" stopIfTrue="1" operator="equal">
      <formula>"S"</formula>
    </cfRule>
    <cfRule type="cellIs" dxfId="346" priority="670" stopIfTrue="1" operator="equal">
      <formula>"D"</formula>
    </cfRule>
  </conditionalFormatting>
  <conditionalFormatting sqref="BK27:BL27">
    <cfRule type="cellIs" dxfId="345" priority="677" stopIfTrue="1" operator="equal">
      <formula>"S"</formula>
    </cfRule>
    <cfRule type="cellIs" dxfId="344" priority="678" stopIfTrue="1" operator="equal">
      <formula>"D"</formula>
    </cfRule>
  </conditionalFormatting>
  <conditionalFormatting sqref="BR32:BV33 BR37:BV37 BT36:BV36 BR31 BV31 BU29 BU34:BV34 BV35">
    <cfRule type="cellIs" dxfId="343" priority="667" stopIfTrue="1" operator="equal">
      <formula>"S"</formula>
    </cfRule>
    <cfRule type="cellIs" dxfId="342" priority="668" stopIfTrue="1" operator="equal">
      <formula>"D"</formula>
    </cfRule>
  </conditionalFormatting>
  <conditionalFormatting sqref="BR30">
    <cfRule type="cellIs" dxfId="341" priority="665" stopIfTrue="1" operator="equal">
      <formula>"S"</formula>
    </cfRule>
    <cfRule type="cellIs" dxfId="340" priority="666" stopIfTrue="1" operator="equal">
      <formula>"D"</formula>
    </cfRule>
  </conditionalFormatting>
  <conditionalFormatting sqref="BR30">
    <cfRule type="cellIs" dxfId="339" priority="663" stopIfTrue="1" operator="equal">
      <formula>"S"</formula>
    </cfRule>
    <cfRule type="cellIs" dxfId="338" priority="664" stopIfTrue="1" operator="equal">
      <formula>"D"</formula>
    </cfRule>
  </conditionalFormatting>
  <conditionalFormatting sqref="BT29">
    <cfRule type="cellIs" dxfId="337" priority="661" stopIfTrue="1" operator="equal">
      <formula>"S"</formula>
    </cfRule>
    <cfRule type="cellIs" dxfId="336" priority="662" stopIfTrue="1" operator="equal">
      <formula>"D"</formula>
    </cfRule>
  </conditionalFormatting>
  <conditionalFormatting sqref="BT30">
    <cfRule type="cellIs" dxfId="335" priority="657" stopIfTrue="1" operator="equal">
      <formula>"S"</formula>
    </cfRule>
    <cfRule type="cellIs" dxfId="334" priority="658" stopIfTrue="1" operator="equal">
      <formula>"D"</formula>
    </cfRule>
  </conditionalFormatting>
  <conditionalFormatting sqref="BS35">
    <cfRule type="cellIs" dxfId="333" priority="651" stopIfTrue="1" operator="equal">
      <formula>"S"</formula>
    </cfRule>
    <cfRule type="cellIs" dxfId="332" priority="652" stopIfTrue="1" operator="equal">
      <formula>"D"</formula>
    </cfRule>
  </conditionalFormatting>
  <conditionalFormatting sqref="BS35">
    <cfRule type="cellIs" dxfId="331" priority="649" stopIfTrue="1" operator="equal">
      <formula>"S"</formula>
    </cfRule>
    <cfRule type="cellIs" dxfId="330" priority="650" stopIfTrue="1" operator="equal">
      <formula>"D"</formula>
    </cfRule>
  </conditionalFormatting>
  <conditionalFormatting sqref="BS34">
    <cfRule type="cellIs" dxfId="329" priority="647" stopIfTrue="1" operator="equal">
      <formula>"S"</formula>
    </cfRule>
    <cfRule type="cellIs" dxfId="328" priority="648" stopIfTrue="1" operator="equal">
      <formula>"D"</formula>
    </cfRule>
  </conditionalFormatting>
  <conditionalFormatting sqref="BR36">
    <cfRule type="cellIs" dxfId="327" priority="645" stopIfTrue="1" operator="equal">
      <formula>"S"</formula>
    </cfRule>
    <cfRule type="cellIs" dxfId="326" priority="646" stopIfTrue="1" operator="equal">
      <formula>"D"</formula>
    </cfRule>
  </conditionalFormatting>
  <conditionalFormatting sqref="BR36">
    <cfRule type="cellIs" dxfId="325" priority="643" stopIfTrue="1" operator="equal">
      <formula>"S"</formula>
    </cfRule>
    <cfRule type="cellIs" dxfId="324" priority="644" stopIfTrue="1" operator="equal">
      <formula>"D"</formula>
    </cfRule>
  </conditionalFormatting>
  <conditionalFormatting sqref="BS36">
    <cfRule type="cellIs" dxfId="323" priority="641" stopIfTrue="1" operator="equal">
      <formula>"S"</formula>
    </cfRule>
    <cfRule type="cellIs" dxfId="322" priority="642" stopIfTrue="1" operator="equal">
      <formula>"D"</formula>
    </cfRule>
  </conditionalFormatting>
  <conditionalFormatting sqref="BS36">
    <cfRule type="cellIs" dxfId="321" priority="639" stopIfTrue="1" operator="equal">
      <formula>"S"</formula>
    </cfRule>
    <cfRule type="cellIs" dxfId="320" priority="640" stopIfTrue="1" operator="equal">
      <formula>"D"</formula>
    </cfRule>
  </conditionalFormatting>
  <conditionalFormatting sqref="BU30">
    <cfRule type="cellIs" dxfId="319" priority="659" stopIfTrue="1" operator="equal">
      <formula>"S"</formula>
    </cfRule>
    <cfRule type="cellIs" dxfId="318" priority="660" stopIfTrue="1" operator="equal">
      <formula>"D"</formula>
    </cfRule>
  </conditionalFormatting>
  <conditionalFormatting sqref="BR35">
    <cfRule type="cellIs" dxfId="317" priority="655" stopIfTrue="1" operator="equal">
      <formula>"S"</formula>
    </cfRule>
    <cfRule type="cellIs" dxfId="316" priority="656" stopIfTrue="1" operator="equal">
      <formula>"D"</formula>
    </cfRule>
  </conditionalFormatting>
  <conditionalFormatting sqref="BR35">
    <cfRule type="cellIs" dxfId="315" priority="653" stopIfTrue="1" operator="equal">
      <formula>"S"</formula>
    </cfRule>
    <cfRule type="cellIs" dxfId="314" priority="654" stopIfTrue="1" operator="equal">
      <formula>"D"</formula>
    </cfRule>
  </conditionalFormatting>
  <conditionalFormatting sqref="BR34">
    <cfRule type="cellIs" dxfId="313" priority="637" stopIfTrue="1" operator="equal">
      <formula>"S"</formula>
    </cfRule>
    <cfRule type="cellIs" dxfId="312" priority="638" stopIfTrue="1" operator="equal">
      <formula>"D"</formula>
    </cfRule>
  </conditionalFormatting>
  <conditionalFormatting sqref="BS31:BT31">
    <cfRule type="cellIs" dxfId="311" priority="635" stopIfTrue="1" operator="equal">
      <formula>"S"</formula>
    </cfRule>
    <cfRule type="cellIs" dxfId="310" priority="636" stopIfTrue="1" operator="equal">
      <formula>"D"</formula>
    </cfRule>
  </conditionalFormatting>
  <conditionalFormatting sqref="BR29">
    <cfRule type="cellIs" dxfId="309" priority="633" stopIfTrue="1" operator="equal">
      <formula>"S"</formula>
    </cfRule>
    <cfRule type="cellIs" dxfId="308" priority="634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07" priority="631" stopIfTrue="1" operator="equal">
      <formula>"S"</formula>
    </cfRule>
    <cfRule type="cellIs" dxfId="306" priority="632" stopIfTrue="1" operator="equal">
      <formula>"D"</formula>
    </cfRule>
  </conditionalFormatting>
  <conditionalFormatting sqref="BS29">
    <cfRule type="cellIs" dxfId="305" priority="629" stopIfTrue="1" operator="equal">
      <formula>"S"</formula>
    </cfRule>
    <cfRule type="cellIs" dxfId="304" priority="630" stopIfTrue="1" operator="equal">
      <formula>"D"</formula>
    </cfRule>
  </conditionalFormatting>
  <conditionalFormatting sqref="BS29">
    <cfRule type="cellIs" dxfId="303" priority="627" stopIfTrue="1" operator="equal">
      <formula>"S"</formula>
    </cfRule>
    <cfRule type="cellIs" dxfId="302" priority="628" stopIfTrue="1" operator="equal">
      <formula>"D"</formula>
    </cfRule>
  </conditionalFormatting>
  <conditionalFormatting sqref="BS30">
    <cfRule type="cellIs" dxfId="301" priority="625" stopIfTrue="1" operator="equal">
      <formula>"S"</formula>
    </cfRule>
    <cfRule type="cellIs" dxfId="300" priority="626" stopIfTrue="1" operator="equal">
      <formula>"D"</formula>
    </cfRule>
  </conditionalFormatting>
  <conditionalFormatting sqref="BS30">
    <cfRule type="cellIs" dxfId="299" priority="623" stopIfTrue="1" operator="equal">
      <formula>"S"</formula>
    </cfRule>
    <cfRule type="cellIs" dxfId="298" priority="624" stopIfTrue="1" operator="equal">
      <formula>"D"</formula>
    </cfRule>
  </conditionalFormatting>
  <conditionalFormatting sqref="BT15">
    <cfRule type="cellIs" dxfId="297" priority="621" stopIfTrue="1" operator="equal">
      <formula>"S"</formula>
    </cfRule>
    <cfRule type="cellIs" dxfId="296" priority="622" stopIfTrue="1" operator="equal">
      <formula>"D"</formula>
    </cfRule>
  </conditionalFormatting>
  <conditionalFormatting sqref="BT21">
    <cfRule type="cellIs" dxfId="295" priority="619" stopIfTrue="1" operator="equal">
      <formula>"S"</formula>
    </cfRule>
    <cfRule type="cellIs" dxfId="294" priority="620" stopIfTrue="1" operator="equal">
      <formula>"D"</formula>
    </cfRule>
  </conditionalFormatting>
  <conditionalFormatting sqref="BR21">
    <cfRule type="cellIs" dxfId="293" priority="617" stopIfTrue="1" operator="equal">
      <formula>"S"</formula>
    </cfRule>
    <cfRule type="cellIs" dxfId="292" priority="618" stopIfTrue="1" operator="equal">
      <formula>"D"</formula>
    </cfRule>
  </conditionalFormatting>
  <conditionalFormatting sqref="BV29">
    <cfRule type="cellIs" dxfId="291" priority="615" stopIfTrue="1" operator="equal">
      <formula>"S"</formula>
    </cfRule>
    <cfRule type="cellIs" dxfId="290" priority="616" stopIfTrue="1" operator="equal">
      <formula>"D"</formula>
    </cfRule>
  </conditionalFormatting>
  <conditionalFormatting sqref="BV29">
    <cfRule type="cellIs" dxfId="289" priority="613" stopIfTrue="1" operator="equal">
      <formula>"S"</formula>
    </cfRule>
    <cfRule type="cellIs" dxfId="288" priority="614" stopIfTrue="1" operator="equal">
      <formula>"D"</formula>
    </cfRule>
  </conditionalFormatting>
  <conditionalFormatting sqref="BV30">
    <cfRule type="cellIs" dxfId="287" priority="611" stopIfTrue="1" operator="equal">
      <formula>"S"</formula>
    </cfRule>
    <cfRule type="cellIs" dxfId="286" priority="612" stopIfTrue="1" operator="equal">
      <formula>"D"</formula>
    </cfRule>
  </conditionalFormatting>
  <conditionalFormatting sqref="BV30">
    <cfRule type="cellIs" dxfId="285" priority="609" stopIfTrue="1" operator="equal">
      <formula>"S"</formula>
    </cfRule>
    <cfRule type="cellIs" dxfId="284" priority="610" stopIfTrue="1" operator="equal">
      <formula>"D"</formula>
    </cfRule>
  </conditionalFormatting>
  <conditionalFormatting sqref="BT13">
    <cfRule type="cellIs" dxfId="283" priority="607" stopIfTrue="1" operator="equal">
      <formula>"S"</formula>
    </cfRule>
    <cfRule type="cellIs" dxfId="282" priority="608" stopIfTrue="1" operator="equal">
      <formula>"D"</formula>
    </cfRule>
  </conditionalFormatting>
  <conditionalFormatting sqref="BT13">
    <cfRule type="cellIs" dxfId="281" priority="605" stopIfTrue="1" operator="equal">
      <formula>"S"</formula>
    </cfRule>
    <cfRule type="cellIs" dxfId="280" priority="606" stopIfTrue="1" operator="equal">
      <formula>"D"</formula>
    </cfRule>
  </conditionalFormatting>
  <conditionalFormatting sqref="BT14">
    <cfRule type="cellIs" dxfId="279" priority="603" stopIfTrue="1" operator="equal">
      <formula>"S"</formula>
    </cfRule>
    <cfRule type="cellIs" dxfId="278" priority="604" stopIfTrue="1" operator="equal">
      <formula>"D"</formula>
    </cfRule>
  </conditionalFormatting>
  <conditionalFormatting sqref="BT14">
    <cfRule type="cellIs" dxfId="277" priority="601" stopIfTrue="1" operator="equal">
      <formula>"S"</formula>
    </cfRule>
    <cfRule type="cellIs" dxfId="276" priority="602" stopIfTrue="1" operator="equal">
      <formula>"D"</formula>
    </cfRule>
  </conditionalFormatting>
  <conditionalFormatting sqref="BS27:BT27">
    <cfRule type="cellIs" dxfId="275" priority="597" stopIfTrue="1" operator="equal">
      <formula>"S"</formula>
    </cfRule>
    <cfRule type="cellIs" dxfId="274" priority="598" stopIfTrue="1" operator="equal">
      <formula>"D"</formula>
    </cfRule>
  </conditionalFormatting>
  <conditionalFormatting sqref="BS27:BT27">
    <cfRule type="cellIs" dxfId="273" priority="595" stopIfTrue="1" operator="equal">
      <formula>"S"</formula>
    </cfRule>
    <cfRule type="cellIs" dxfId="272" priority="596" stopIfTrue="1" operator="equal">
      <formula>"D"</formula>
    </cfRule>
  </conditionalFormatting>
  <conditionalFormatting sqref="BS27:BT27">
    <cfRule type="cellIs" dxfId="271" priority="593" stopIfTrue="1" operator="equal">
      <formula>"S"</formula>
    </cfRule>
    <cfRule type="cellIs" dxfId="270" priority="594" stopIfTrue="1" operator="equal">
      <formula>"D"</formula>
    </cfRule>
  </conditionalFormatting>
  <conditionalFormatting sqref="BS27:BT27">
    <cfRule type="cellIs" dxfId="269" priority="591" stopIfTrue="1" operator="equal">
      <formula>"S"</formula>
    </cfRule>
    <cfRule type="cellIs" dxfId="268" priority="592" stopIfTrue="1" operator="equal">
      <formula>"D"</formula>
    </cfRule>
  </conditionalFormatting>
  <conditionalFormatting sqref="BS27:BT27">
    <cfRule type="cellIs" dxfId="267" priority="599" stopIfTrue="1" operator="equal">
      <formula>"S"</formula>
    </cfRule>
    <cfRule type="cellIs" dxfId="266" priority="600" stopIfTrue="1" operator="equal">
      <formula>"D"</formula>
    </cfRule>
  </conditionalFormatting>
  <conditionalFormatting sqref="BZ32:CD33 BZ37:CD37 CB36:CD36 BZ31 CD31 CC29 CC34:CD34 CD35">
    <cfRule type="cellIs" dxfId="265" priority="589" stopIfTrue="1" operator="equal">
      <formula>"S"</formula>
    </cfRule>
    <cfRule type="cellIs" dxfId="264" priority="590" stopIfTrue="1" operator="equal">
      <formula>"D"</formula>
    </cfRule>
  </conditionalFormatting>
  <conditionalFormatting sqref="BZ30">
    <cfRule type="cellIs" dxfId="263" priority="587" stopIfTrue="1" operator="equal">
      <formula>"S"</formula>
    </cfRule>
    <cfRule type="cellIs" dxfId="262" priority="588" stopIfTrue="1" operator="equal">
      <formula>"D"</formula>
    </cfRule>
  </conditionalFormatting>
  <conditionalFormatting sqref="BZ30">
    <cfRule type="cellIs" dxfId="261" priority="585" stopIfTrue="1" operator="equal">
      <formula>"S"</formula>
    </cfRule>
    <cfRule type="cellIs" dxfId="260" priority="586" stopIfTrue="1" operator="equal">
      <formula>"D"</formula>
    </cfRule>
  </conditionalFormatting>
  <conditionalFormatting sqref="CB29">
    <cfRule type="cellIs" dxfId="259" priority="583" stopIfTrue="1" operator="equal">
      <formula>"S"</formula>
    </cfRule>
    <cfRule type="cellIs" dxfId="258" priority="584" stopIfTrue="1" operator="equal">
      <formula>"D"</formula>
    </cfRule>
  </conditionalFormatting>
  <conditionalFormatting sqref="CB30">
    <cfRule type="cellIs" dxfId="257" priority="579" stopIfTrue="1" operator="equal">
      <formula>"S"</formula>
    </cfRule>
    <cfRule type="cellIs" dxfId="256" priority="580" stopIfTrue="1" operator="equal">
      <formula>"D"</formula>
    </cfRule>
  </conditionalFormatting>
  <conditionalFormatting sqref="CA35">
    <cfRule type="cellIs" dxfId="255" priority="573" stopIfTrue="1" operator="equal">
      <formula>"S"</formula>
    </cfRule>
    <cfRule type="cellIs" dxfId="254" priority="574" stopIfTrue="1" operator="equal">
      <formula>"D"</formula>
    </cfRule>
  </conditionalFormatting>
  <conditionalFormatting sqref="CA35">
    <cfRule type="cellIs" dxfId="253" priority="571" stopIfTrue="1" operator="equal">
      <formula>"S"</formula>
    </cfRule>
    <cfRule type="cellIs" dxfId="252" priority="572" stopIfTrue="1" operator="equal">
      <formula>"D"</formula>
    </cfRule>
  </conditionalFormatting>
  <conditionalFormatting sqref="CA34">
    <cfRule type="cellIs" dxfId="251" priority="569" stopIfTrue="1" operator="equal">
      <formula>"S"</formula>
    </cfRule>
    <cfRule type="cellIs" dxfId="250" priority="570" stopIfTrue="1" operator="equal">
      <formula>"D"</formula>
    </cfRule>
  </conditionalFormatting>
  <conditionalFormatting sqref="BZ36">
    <cfRule type="cellIs" dxfId="249" priority="567" stopIfTrue="1" operator="equal">
      <formula>"S"</formula>
    </cfRule>
    <cfRule type="cellIs" dxfId="248" priority="568" stopIfTrue="1" operator="equal">
      <formula>"D"</formula>
    </cfRule>
  </conditionalFormatting>
  <conditionalFormatting sqref="BZ36">
    <cfRule type="cellIs" dxfId="247" priority="565" stopIfTrue="1" operator="equal">
      <formula>"S"</formula>
    </cfRule>
    <cfRule type="cellIs" dxfId="246" priority="566" stopIfTrue="1" operator="equal">
      <formula>"D"</formula>
    </cfRule>
  </conditionalFormatting>
  <conditionalFormatting sqref="CA36">
    <cfRule type="cellIs" dxfId="245" priority="563" stopIfTrue="1" operator="equal">
      <formula>"S"</formula>
    </cfRule>
    <cfRule type="cellIs" dxfId="244" priority="564" stopIfTrue="1" operator="equal">
      <formula>"D"</formula>
    </cfRule>
  </conditionalFormatting>
  <conditionalFormatting sqref="CA36">
    <cfRule type="cellIs" dxfId="243" priority="561" stopIfTrue="1" operator="equal">
      <formula>"S"</formula>
    </cfRule>
    <cfRule type="cellIs" dxfId="242" priority="562" stopIfTrue="1" operator="equal">
      <formula>"D"</formula>
    </cfRule>
  </conditionalFormatting>
  <conditionalFormatting sqref="CC30">
    <cfRule type="cellIs" dxfId="241" priority="581" stopIfTrue="1" operator="equal">
      <formula>"S"</formula>
    </cfRule>
    <cfRule type="cellIs" dxfId="240" priority="582" stopIfTrue="1" operator="equal">
      <formula>"D"</formula>
    </cfRule>
  </conditionalFormatting>
  <conditionalFormatting sqref="BZ35">
    <cfRule type="cellIs" dxfId="239" priority="577" stopIfTrue="1" operator="equal">
      <formula>"S"</formula>
    </cfRule>
    <cfRule type="cellIs" dxfId="238" priority="578" stopIfTrue="1" operator="equal">
      <formula>"D"</formula>
    </cfRule>
  </conditionalFormatting>
  <conditionalFormatting sqref="BZ35">
    <cfRule type="cellIs" dxfId="237" priority="575" stopIfTrue="1" operator="equal">
      <formula>"S"</formula>
    </cfRule>
    <cfRule type="cellIs" dxfId="236" priority="576" stopIfTrue="1" operator="equal">
      <formula>"D"</formula>
    </cfRule>
  </conditionalFormatting>
  <conditionalFormatting sqref="BZ34">
    <cfRule type="cellIs" dxfId="235" priority="559" stopIfTrue="1" operator="equal">
      <formula>"S"</formula>
    </cfRule>
    <cfRule type="cellIs" dxfId="234" priority="560" stopIfTrue="1" operator="equal">
      <formula>"D"</formula>
    </cfRule>
  </conditionalFormatting>
  <conditionalFormatting sqref="CA31:CB31">
    <cfRule type="cellIs" dxfId="233" priority="557" stopIfTrue="1" operator="equal">
      <formula>"S"</formula>
    </cfRule>
    <cfRule type="cellIs" dxfId="232" priority="558" stopIfTrue="1" operator="equal">
      <formula>"D"</formula>
    </cfRule>
  </conditionalFormatting>
  <conditionalFormatting sqref="BZ29">
    <cfRule type="cellIs" dxfId="231" priority="555" stopIfTrue="1" operator="equal">
      <formula>"S"</formula>
    </cfRule>
    <cfRule type="cellIs" dxfId="230" priority="556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29" priority="553" stopIfTrue="1" operator="equal">
      <formula>"S"</formula>
    </cfRule>
    <cfRule type="cellIs" dxfId="228" priority="554" stopIfTrue="1" operator="equal">
      <formula>"D"</formula>
    </cfRule>
  </conditionalFormatting>
  <conditionalFormatting sqref="CA29">
    <cfRule type="cellIs" dxfId="227" priority="551" stopIfTrue="1" operator="equal">
      <formula>"S"</formula>
    </cfRule>
    <cfRule type="cellIs" dxfId="226" priority="552" stopIfTrue="1" operator="equal">
      <formula>"D"</formula>
    </cfRule>
  </conditionalFormatting>
  <conditionalFormatting sqref="CA29">
    <cfRule type="cellIs" dxfId="225" priority="549" stopIfTrue="1" operator="equal">
      <formula>"S"</formula>
    </cfRule>
    <cfRule type="cellIs" dxfId="224" priority="550" stopIfTrue="1" operator="equal">
      <formula>"D"</formula>
    </cfRule>
  </conditionalFormatting>
  <conditionalFormatting sqref="CA30">
    <cfRule type="cellIs" dxfId="223" priority="547" stopIfTrue="1" operator="equal">
      <formula>"S"</formula>
    </cfRule>
    <cfRule type="cellIs" dxfId="222" priority="548" stopIfTrue="1" operator="equal">
      <formula>"D"</formula>
    </cfRule>
  </conditionalFormatting>
  <conditionalFormatting sqref="CA30">
    <cfRule type="cellIs" dxfId="221" priority="545" stopIfTrue="1" operator="equal">
      <formula>"S"</formula>
    </cfRule>
    <cfRule type="cellIs" dxfId="220" priority="546" stopIfTrue="1" operator="equal">
      <formula>"D"</formula>
    </cfRule>
  </conditionalFormatting>
  <conditionalFormatting sqref="CB15">
    <cfRule type="cellIs" dxfId="219" priority="543" stopIfTrue="1" operator="equal">
      <formula>"S"</formula>
    </cfRule>
    <cfRule type="cellIs" dxfId="218" priority="544" stopIfTrue="1" operator="equal">
      <formula>"D"</formula>
    </cfRule>
  </conditionalFormatting>
  <conditionalFormatting sqref="CB21">
    <cfRule type="cellIs" dxfId="217" priority="541" stopIfTrue="1" operator="equal">
      <formula>"S"</formula>
    </cfRule>
    <cfRule type="cellIs" dxfId="216" priority="542" stopIfTrue="1" operator="equal">
      <formula>"D"</formula>
    </cfRule>
  </conditionalFormatting>
  <conditionalFormatting sqref="BZ21">
    <cfRule type="cellIs" dxfId="215" priority="539" stopIfTrue="1" operator="equal">
      <formula>"S"</formula>
    </cfRule>
    <cfRule type="cellIs" dxfId="214" priority="540" stopIfTrue="1" operator="equal">
      <formula>"D"</formula>
    </cfRule>
  </conditionalFormatting>
  <conditionalFormatting sqref="CD29">
    <cfRule type="cellIs" dxfId="213" priority="537" stopIfTrue="1" operator="equal">
      <formula>"S"</formula>
    </cfRule>
    <cfRule type="cellIs" dxfId="212" priority="538" stopIfTrue="1" operator="equal">
      <formula>"D"</formula>
    </cfRule>
  </conditionalFormatting>
  <conditionalFormatting sqref="CD29">
    <cfRule type="cellIs" dxfId="211" priority="535" stopIfTrue="1" operator="equal">
      <formula>"S"</formula>
    </cfRule>
    <cfRule type="cellIs" dxfId="210" priority="536" stopIfTrue="1" operator="equal">
      <formula>"D"</formula>
    </cfRule>
  </conditionalFormatting>
  <conditionalFormatting sqref="CD30">
    <cfRule type="cellIs" dxfId="209" priority="533" stopIfTrue="1" operator="equal">
      <formula>"S"</formula>
    </cfRule>
    <cfRule type="cellIs" dxfId="208" priority="534" stopIfTrue="1" operator="equal">
      <formula>"D"</formula>
    </cfRule>
  </conditionalFormatting>
  <conditionalFormatting sqref="CD30">
    <cfRule type="cellIs" dxfId="207" priority="531" stopIfTrue="1" operator="equal">
      <formula>"S"</formula>
    </cfRule>
    <cfRule type="cellIs" dxfId="206" priority="532" stopIfTrue="1" operator="equal">
      <formula>"D"</formula>
    </cfRule>
  </conditionalFormatting>
  <conditionalFormatting sqref="CB13">
    <cfRule type="cellIs" dxfId="205" priority="529" stopIfTrue="1" operator="equal">
      <formula>"S"</formula>
    </cfRule>
    <cfRule type="cellIs" dxfId="204" priority="530" stopIfTrue="1" operator="equal">
      <formula>"D"</formula>
    </cfRule>
  </conditionalFormatting>
  <conditionalFormatting sqref="CB13">
    <cfRule type="cellIs" dxfId="203" priority="527" stopIfTrue="1" operator="equal">
      <formula>"S"</formula>
    </cfRule>
    <cfRule type="cellIs" dxfId="202" priority="528" stopIfTrue="1" operator="equal">
      <formula>"D"</formula>
    </cfRule>
  </conditionalFormatting>
  <conditionalFormatting sqref="CB14">
    <cfRule type="cellIs" dxfId="201" priority="525" stopIfTrue="1" operator="equal">
      <formula>"S"</formula>
    </cfRule>
    <cfRule type="cellIs" dxfId="200" priority="526" stopIfTrue="1" operator="equal">
      <formula>"D"</formula>
    </cfRule>
  </conditionalFormatting>
  <conditionalFormatting sqref="CB14">
    <cfRule type="cellIs" dxfId="199" priority="523" stopIfTrue="1" operator="equal">
      <formula>"S"</formula>
    </cfRule>
    <cfRule type="cellIs" dxfId="198" priority="524" stopIfTrue="1" operator="equal">
      <formula>"D"</formula>
    </cfRule>
  </conditionalFormatting>
  <conditionalFormatting sqref="CA27:CB27">
    <cfRule type="cellIs" dxfId="197" priority="519" stopIfTrue="1" operator="equal">
      <formula>"S"</formula>
    </cfRule>
    <cfRule type="cellIs" dxfId="196" priority="520" stopIfTrue="1" operator="equal">
      <formula>"D"</formula>
    </cfRule>
  </conditionalFormatting>
  <conditionalFormatting sqref="CA27:CB27">
    <cfRule type="cellIs" dxfId="195" priority="517" stopIfTrue="1" operator="equal">
      <formula>"S"</formula>
    </cfRule>
    <cfRule type="cellIs" dxfId="194" priority="518" stopIfTrue="1" operator="equal">
      <formula>"D"</formula>
    </cfRule>
  </conditionalFormatting>
  <conditionalFormatting sqref="CA27:CB27">
    <cfRule type="cellIs" dxfId="193" priority="515" stopIfTrue="1" operator="equal">
      <formula>"S"</formula>
    </cfRule>
    <cfRule type="cellIs" dxfId="192" priority="516" stopIfTrue="1" operator="equal">
      <formula>"D"</formula>
    </cfRule>
  </conditionalFormatting>
  <conditionalFormatting sqref="CA27:CB27">
    <cfRule type="cellIs" dxfId="191" priority="513" stopIfTrue="1" operator="equal">
      <formula>"S"</formula>
    </cfRule>
    <cfRule type="cellIs" dxfId="190" priority="514" stopIfTrue="1" operator="equal">
      <formula>"D"</formula>
    </cfRule>
  </conditionalFormatting>
  <conditionalFormatting sqref="CA27:CB27">
    <cfRule type="cellIs" dxfId="189" priority="521" stopIfTrue="1" operator="equal">
      <formula>"S"</formula>
    </cfRule>
    <cfRule type="cellIs" dxfId="188" priority="522" stopIfTrue="1" operator="equal">
      <formula>"D"</formula>
    </cfRule>
  </conditionalFormatting>
  <conditionalFormatting sqref="CH32:CL33 CJ36:CL36 CH31 CL31 CK29 CK34:CL34 CL35 CH37:CL37">
    <cfRule type="cellIs" dxfId="187" priority="511" stopIfTrue="1" operator="equal">
      <formula>"S"</formula>
    </cfRule>
    <cfRule type="cellIs" dxfId="186" priority="512" stopIfTrue="1" operator="equal">
      <formula>"D"</formula>
    </cfRule>
  </conditionalFormatting>
  <conditionalFormatting sqref="CH30">
    <cfRule type="cellIs" dxfId="185" priority="509" stopIfTrue="1" operator="equal">
      <formula>"S"</formula>
    </cfRule>
    <cfRule type="cellIs" dxfId="184" priority="510" stopIfTrue="1" operator="equal">
      <formula>"D"</formula>
    </cfRule>
  </conditionalFormatting>
  <conditionalFormatting sqref="CH30">
    <cfRule type="cellIs" dxfId="183" priority="507" stopIfTrue="1" operator="equal">
      <formula>"S"</formula>
    </cfRule>
    <cfRule type="cellIs" dxfId="182" priority="508" stopIfTrue="1" operator="equal">
      <formula>"D"</formula>
    </cfRule>
  </conditionalFormatting>
  <conditionalFormatting sqref="CJ29">
    <cfRule type="cellIs" dxfId="181" priority="505" stopIfTrue="1" operator="equal">
      <formula>"S"</formula>
    </cfRule>
    <cfRule type="cellIs" dxfId="180" priority="506" stopIfTrue="1" operator="equal">
      <formula>"D"</formula>
    </cfRule>
  </conditionalFormatting>
  <conditionalFormatting sqref="CJ30">
    <cfRule type="cellIs" dxfId="179" priority="501" stopIfTrue="1" operator="equal">
      <formula>"S"</formula>
    </cfRule>
    <cfRule type="cellIs" dxfId="178" priority="502" stopIfTrue="1" operator="equal">
      <formula>"D"</formula>
    </cfRule>
  </conditionalFormatting>
  <conditionalFormatting sqref="CI35">
    <cfRule type="cellIs" dxfId="177" priority="495" stopIfTrue="1" operator="equal">
      <formula>"S"</formula>
    </cfRule>
    <cfRule type="cellIs" dxfId="176" priority="496" stopIfTrue="1" operator="equal">
      <formula>"D"</formula>
    </cfRule>
  </conditionalFormatting>
  <conditionalFormatting sqref="CI35">
    <cfRule type="cellIs" dxfId="175" priority="493" stopIfTrue="1" operator="equal">
      <formula>"S"</formula>
    </cfRule>
    <cfRule type="cellIs" dxfId="174" priority="494" stopIfTrue="1" operator="equal">
      <formula>"D"</formula>
    </cfRule>
  </conditionalFormatting>
  <conditionalFormatting sqref="CI34">
    <cfRule type="cellIs" dxfId="173" priority="491" stopIfTrue="1" operator="equal">
      <formula>"S"</formula>
    </cfRule>
    <cfRule type="cellIs" dxfId="172" priority="492" stopIfTrue="1" operator="equal">
      <formula>"D"</formula>
    </cfRule>
  </conditionalFormatting>
  <conditionalFormatting sqref="CH36">
    <cfRule type="cellIs" dxfId="171" priority="489" stopIfTrue="1" operator="equal">
      <formula>"S"</formula>
    </cfRule>
    <cfRule type="cellIs" dxfId="170" priority="490" stopIfTrue="1" operator="equal">
      <formula>"D"</formula>
    </cfRule>
  </conditionalFormatting>
  <conditionalFormatting sqref="CH36">
    <cfRule type="cellIs" dxfId="169" priority="487" stopIfTrue="1" operator="equal">
      <formula>"S"</formula>
    </cfRule>
    <cfRule type="cellIs" dxfId="168" priority="488" stopIfTrue="1" operator="equal">
      <formula>"D"</formula>
    </cfRule>
  </conditionalFormatting>
  <conditionalFormatting sqref="CI36">
    <cfRule type="cellIs" dxfId="167" priority="485" stopIfTrue="1" operator="equal">
      <formula>"S"</formula>
    </cfRule>
    <cfRule type="cellIs" dxfId="166" priority="486" stopIfTrue="1" operator="equal">
      <formula>"D"</formula>
    </cfRule>
  </conditionalFormatting>
  <conditionalFormatting sqref="CI36">
    <cfRule type="cellIs" dxfId="165" priority="483" stopIfTrue="1" operator="equal">
      <formula>"S"</formula>
    </cfRule>
    <cfRule type="cellIs" dxfId="164" priority="484" stopIfTrue="1" operator="equal">
      <formula>"D"</formula>
    </cfRule>
  </conditionalFormatting>
  <conditionalFormatting sqref="CK30">
    <cfRule type="cellIs" dxfId="163" priority="503" stopIfTrue="1" operator="equal">
      <formula>"S"</formula>
    </cfRule>
    <cfRule type="cellIs" dxfId="162" priority="504" stopIfTrue="1" operator="equal">
      <formula>"D"</formula>
    </cfRule>
  </conditionalFormatting>
  <conditionalFormatting sqref="CH35">
    <cfRule type="cellIs" dxfId="161" priority="499" stopIfTrue="1" operator="equal">
      <formula>"S"</formula>
    </cfRule>
    <cfRule type="cellIs" dxfId="160" priority="500" stopIfTrue="1" operator="equal">
      <formula>"D"</formula>
    </cfRule>
  </conditionalFormatting>
  <conditionalFormatting sqref="CH35">
    <cfRule type="cellIs" dxfId="159" priority="497" stopIfTrue="1" operator="equal">
      <formula>"S"</formula>
    </cfRule>
    <cfRule type="cellIs" dxfId="158" priority="498" stopIfTrue="1" operator="equal">
      <formula>"D"</formula>
    </cfRule>
  </conditionalFormatting>
  <conditionalFormatting sqref="CH34">
    <cfRule type="cellIs" dxfId="157" priority="481" stopIfTrue="1" operator="equal">
      <formula>"S"</formula>
    </cfRule>
    <cfRule type="cellIs" dxfId="156" priority="482" stopIfTrue="1" operator="equal">
      <formula>"D"</formula>
    </cfRule>
  </conditionalFormatting>
  <conditionalFormatting sqref="CI31:CJ31">
    <cfRule type="cellIs" dxfId="155" priority="479" stopIfTrue="1" operator="equal">
      <formula>"S"</formula>
    </cfRule>
    <cfRule type="cellIs" dxfId="154" priority="480" stopIfTrue="1" operator="equal">
      <formula>"D"</formula>
    </cfRule>
  </conditionalFormatting>
  <conditionalFormatting sqref="CH29">
    <cfRule type="cellIs" dxfId="153" priority="477" stopIfTrue="1" operator="equal">
      <formula>"S"</formula>
    </cfRule>
    <cfRule type="cellIs" dxfId="152" priority="478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51" priority="475" stopIfTrue="1" operator="equal">
      <formula>"S"</formula>
    </cfRule>
    <cfRule type="cellIs" dxfId="150" priority="476" stopIfTrue="1" operator="equal">
      <formula>"D"</formula>
    </cfRule>
  </conditionalFormatting>
  <conditionalFormatting sqref="CI29">
    <cfRule type="cellIs" dxfId="149" priority="473" stopIfTrue="1" operator="equal">
      <formula>"S"</formula>
    </cfRule>
    <cfRule type="cellIs" dxfId="148" priority="474" stopIfTrue="1" operator="equal">
      <formula>"D"</formula>
    </cfRule>
  </conditionalFormatting>
  <conditionalFormatting sqref="CI29">
    <cfRule type="cellIs" dxfId="147" priority="471" stopIfTrue="1" operator="equal">
      <formula>"S"</formula>
    </cfRule>
    <cfRule type="cellIs" dxfId="146" priority="472" stopIfTrue="1" operator="equal">
      <formula>"D"</formula>
    </cfRule>
  </conditionalFormatting>
  <conditionalFormatting sqref="CI30">
    <cfRule type="cellIs" dxfId="145" priority="469" stopIfTrue="1" operator="equal">
      <formula>"S"</formula>
    </cfRule>
    <cfRule type="cellIs" dxfId="144" priority="470" stopIfTrue="1" operator="equal">
      <formula>"D"</formula>
    </cfRule>
  </conditionalFormatting>
  <conditionalFormatting sqref="CI30">
    <cfRule type="cellIs" dxfId="143" priority="467" stopIfTrue="1" operator="equal">
      <formula>"S"</formula>
    </cfRule>
    <cfRule type="cellIs" dxfId="142" priority="468" stopIfTrue="1" operator="equal">
      <formula>"D"</formula>
    </cfRule>
  </conditionalFormatting>
  <conditionalFormatting sqref="CJ15">
    <cfRule type="cellIs" dxfId="141" priority="465" stopIfTrue="1" operator="equal">
      <formula>"S"</formula>
    </cfRule>
    <cfRule type="cellIs" dxfId="140" priority="466" stopIfTrue="1" operator="equal">
      <formula>"D"</formula>
    </cfRule>
  </conditionalFormatting>
  <conditionalFormatting sqref="CJ21">
    <cfRule type="cellIs" dxfId="139" priority="463" stopIfTrue="1" operator="equal">
      <formula>"S"</formula>
    </cfRule>
    <cfRule type="cellIs" dxfId="138" priority="464" stopIfTrue="1" operator="equal">
      <formula>"D"</formula>
    </cfRule>
  </conditionalFormatting>
  <conditionalFormatting sqref="CH21">
    <cfRule type="cellIs" dxfId="137" priority="461" stopIfTrue="1" operator="equal">
      <formula>"S"</formula>
    </cfRule>
    <cfRule type="cellIs" dxfId="136" priority="462" stopIfTrue="1" operator="equal">
      <formula>"D"</formula>
    </cfRule>
  </conditionalFormatting>
  <conditionalFormatting sqref="CL29">
    <cfRule type="cellIs" dxfId="135" priority="459" stopIfTrue="1" operator="equal">
      <formula>"S"</formula>
    </cfRule>
    <cfRule type="cellIs" dxfId="134" priority="460" stopIfTrue="1" operator="equal">
      <formula>"D"</formula>
    </cfRule>
  </conditionalFormatting>
  <conditionalFormatting sqref="CL29">
    <cfRule type="cellIs" dxfId="133" priority="457" stopIfTrue="1" operator="equal">
      <formula>"S"</formula>
    </cfRule>
    <cfRule type="cellIs" dxfId="132" priority="458" stopIfTrue="1" operator="equal">
      <formula>"D"</formula>
    </cfRule>
  </conditionalFormatting>
  <conditionalFormatting sqref="CL30">
    <cfRule type="cellIs" dxfId="131" priority="455" stopIfTrue="1" operator="equal">
      <formula>"S"</formula>
    </cfRule>
    <cfRule type="cellIs" dxfId="130" priority="456" stopIfTrue="1" operator="equal">
      <formula>"D"</formula>
    </cfRule>
  </conditionalFormatting>
  <conditionalFormatting sqref="CL30">
    <cfRule type="cellIs" dxfId="129" priority="453" stopIfTrue="1" operator="equal">
      <formula>"S"</formula>
    </cfRule>
    <cfRule type="cellIs" dxfId="128" priority="454" stopIfTrue="1" operator="equal">
      <formula>"D"</formula>
    </cfRule>
  </conditionalFormatting>
  <conditionalFormatting sqref="CJ13">
    <cfRule type="cellIs" dxfId="127" priority="451" stopIfTrue="1" operator="equal">
      <formula>"S"</formula>
    </cfRule>
    <cfRule type="cellIs" dxfId="126" priority="452" stopIfTrue="1" operator="equal">
      <formula>"D"</formula>
    </cfRule>
  </conditionalFormatting>
  <conditionalFormatting sqref="CJ13">
    <cfRule type="cellIs" dxfId="125" priority="449" stopIfTrue="1" operator="equal">
      <formula>"S"</formula>
    </cfRule>
    <cfRule type="cellIs" dxfId="124" priority="450" stopIfTrue="1" operator="equal">
      <formula>"D"</formula>
    </cfRule>
  </conditionalFormatting>
  <conditionalFormatting sqref="CJ14">
    <cfRule type="cellIs" dxfId="123" priority="447" stopIfTrue="1" operator="equal">
      <formula>"S"</formula>
    </cfRule>
    <cfRule type="cellIs" dxfId="122" priority="448" stopIfTrue="1" operator="equal">
      <formula>"D"</formula>
    </cfRule>
  </conditionalFormatting>
  <conditionalFormatting sqref="CJ14">
    <cfRule type="cellIs" dxfId="121" priority="445" stopIfTrue="1" operator="equal">
      <formula>"S"</formula>
    </cfRule>
    <cfRule type="cellIs" dxfId="120" priority="446" stopIfTrue="1" operator="equal">
      <formula>"D"</formula>
    </cfRule>
  </conditionalFormatting>
  <conditionalFormatting sqref="CI27:CJ27">
    <cfRule type="cellIs" dxfId="119" priority="441" stopIfTrue="1" operator="equal">
      <formula>"S"</formula>
    </cfRule>
    <cfRule type="cellIs" dxfId="118" priority="442" stopIfTrue="1" operator="equal">
      <formula>"D"</formula>
    </cfRule>
  </conditionalFormatting>
  <conditionalFormatting sqref="CI27:CJ27">
    <cfRule type="cellIs" dxfId="117" priority="439" stopIfTrue="1" operator="equal">
      <formula>"S"</formula>
    </cfRule>
    <cfRule type="cellIs" dxfId="116" priority="440" stopIfTrue="1" operator="equal">
      <formula>"D"</formula>
    </cfRule>
  </conditionalFormatting>
  <conditionalFormatting sqref="CI27:CJ27">
    <cfRule type="cellIs" dxfId="115" priority="437" stopIfTrue="1" operator="equal">
      <formula>"S"</formula>
    </cfRule>
    <cfRule type="cellIs" dxfId="114" priority="438" stopIfTrue="1" operator="equal">
      <formula>"D"</formula>
    </cfRule>
  </conditionalFormatting>
  <conditionalFormatting sqref="CI27:CJ27">
    <cfRule type="cellIs" dxfId="113" priority="435" stopIfTrue="1" operator="equal">
      <formula>"S"</formula>
    </cfRule>
    <cfRule type="cellIs" dxfId="112" priority="436" stopIfTrue="1" operator="equal">
      <formula>"D"</formula>
    </cfRule>
  </conditionalFormatting>
  <conditionalFormatting sqref="CI27:CJ27">
    <cfRule type="cellIs" dxfId="111" priority="443" stopIfTrue="1" operator="equal">
      <formula>"S"</formula>
    </cfRule>
    <cfRule type="cellIs" dxfId="110" priority="444" stopIfTrue="1" operator="equal">
      <formula>"D"</formula>
    </cfRule>
  </conditionalFormatting>
  <conditionalFormatting sqref="CA19">
    <cfRule type="cellIs" dxfId="109" priority="305" stopIfTrue="1" operator="equal">
      <formula>"S"</formula>
    </cfRule>
    <cfRule type="cellIs" dxfId="108" priority="306" stopIfTrue="1" operator="equal">
      <formula>"D"</formula>
    </cfRule>
  </conditionalFormatting>
  <conditionalFormatting sqref="BT20">
    <cfRule type="cellIs" dxfId="107" priority="303" stopIfTrue="1" operator="equal">
      <formula>"S"</formula>
    </cfRule>
    <cfRule type="cellIs" dxfId="106" priority="304" stopIfTrue="1" operator="equal">
      <formula>"D"</formula>
    </cfRule>
  </conditionalFormatting>
  <conditionalFormatting sqref="BL21">
    <cfRule type="cellIs" dxfId="105" priority="301" stopIfTrue="1" operator="equal">
      <formula>"S"</formula>
    </cfRule>
    <cfRule type="cellIs" dxfId="104" priority="302" stopIfTrue="1" operator="equal">
      <formula>"D"</formula>
    </cfRule>
  </conditionalFormatting>
  <conditionalFormatting sqref="BD21">
    <cfRule type="cellIs" dxfId="103" priority="299" stopIfTrue="1" operator="equal">
      <formula>"S"</formula>
    </cfRule>
    <cfRule type="cellIs" dxfId="102" priority="300" stopIfTrue="1" operator="equal">
      <formula>"D"</formula>
    </cfRule>
  </conditionalFormatting>
  <conditionalFormatting sqref="AV21">
    <cfRule type="cellIs" dxfId="101" priority="297" stopIfTrue="1" operator="equal">
      <formula>"S"</formula>
    </cfRule>
    <cfRule type="cellIs" dxfId="100" priority="298" stopIfTrue="1" operator="equal">
      <formula>"D"</formula>
    </cfRule>
  </conditionalFormatting>
  <conditionalFormatting sqref="AM21">
    <cfRule type="cellIs" dxfId="99" priority="295" stopIfTrue="1" operator="equal">
      <formula>"S"</formula>
    </cfRule>
    <cfRule type="cellIs" dxfId="98" priority="296" stopIfTrue="1" operator="equal">
      <formula>"D"</formula>
    </cfRule>
  </conditionalFormatting>
  <conditionalFormatting sqref="V17:Z17 V16:W16 Y16:Z16 V18 V19:W19 X18:Z18 V11:Z15 Y19:Z19 V30:Z34 Z20:Z29">
    <cfRule type="cellIs" dxfId="97" priority="289" stopIfTrue="1" operator="equal">
      <formula>"S"</formula>
    </cfRule>
    <cfRule type="cellIs" dxfId="96" priority="290" stopIfTrue="1" operator="equal">
      <formula>"D"</formula>
    </cfRule>
  </conditionalFormatting>
  <conditionalFormatting sqref="R10:R25 N9:Q25 N26:R33">
    <cfRule type="cellIs" dxfId="95" priority="287" stopIfTrue="1" operator="equal">
      <formula>"S"</formula>
    </cfRule>
    <cfRule type="cellIs" dxfId="94" priority="288" stopIfTrue="1" operator="equal">
      <formula>"D"</formula>
    </cfRule>
  </conditionalFormatting>
  <conditionalFormatting sqref="AO47">
    <cfRule type="cellIs" dxfId="93" priority="213" stopIfTrue="1" operator="equal">
      <formula>"S"</formula>
    </cfRule>
    <cfRule type="cellIs" dxfId="92" priority="214" stopIfTrue="1" operator="equal">
      <formula>"D"</formula>
    </cfRule>
  </conditionalFormatting>
  <conditionalFormatting sqref="AO47">
    <cfRule type="cellIs" dxfId="91" priority="211" stopIfTrue="1" operator="equal">
      <formula>"S"</formula>
    </cfRule>
    <cfRule type="cellIs" dxfId="90" priority="212" stopIfTrue="1" operator="equal">
      <formula>"D"</formula>
    </cfRule>
  </conditionalFormatting>
  <conditionalFormatting sqref="AO47">
    <cfRule type="cellIs" dxfId="89" priority="209" stopIfTrue="1" operator="equal">
      <formula>"S"</formula>
    </cfRule>
    <cfRule type="cellIs" dxfId="88" priority="210" stopIfTrue="1" operator="equal">
      <formula>"D"</formula>
    </cfRule>
  </conditionalFormatting>
  <conditionalFormatting sqref="AO47">
    <cfRule type="cellIs" dxfId="87" priority="207" stopIfTrue="1" operator="equal">
      <formula>"S"</formula>
    </cfRule>
    <cfRule type="cellIs" dxfId="86" priority="208" stopIfTrue="1" operator="equal">
      <formula>"D"</formula>
    </cfRule>
  </conditionalFormatting>
  <conditionalFormatting sqref="AO47">
    <cfRule type="cellIs" dxfId="85" priority="205" stopIfTrue="1" operator="equal">
      <formula>"S"</formula>
    </cfRule>
    <cfRule type="cellIs" dxfId="84" priority="206" stopIfTrue="1" operator="equal">
      <formula>"D"</formula>
    </cfRule>
  </conditionalFormatting>
  <conditionalFormatting sqref="N7">
    <cfRule type="cellIs" dxfId="83" priority="151" stopIfTrue="1" operator="equal">
      <formula>"S"</formula>
    </cfRule>
    <cfRule type="cellIs" dxfId="82" priority="152" stopIfTrue="1" operator="equal">
      <formula>"D"</formula>
    </cfRule>
  </conditionalFormatting>
  <conditionalFormatting sqref="F37">
    <cfRule type="cellIs" dxfId="81" priority="139" stopIfTrue="1" operator="equal">
      <formula>"S"</formula>
    </cfRule>
    <cfRule type="cellIs" dxfId="80" priority="140" stopIfTrue="1" operator="equal">
      <formula>"D"</formula>
    </cfRule>
  </conditionalFormatting>
  <conditionalFormatting sqref="F37">
    <cfRule type="cellIs" dxfId="79" priority="137" stopIfTrue="1" operator="equal">
      <formula>"S"</formula>
    </cfRule>
    <cfRule type="cellIs" dxfId="78" priority="138" stopIfTrue="1" operator="equal">
      <formula>"D"</formula>
    </cfRule>
  </conditionalFormatting>
  <conditionalFormatting sqref="O7">
    <cfRule type="cellIs" dxfId="77" priority="135" stopIfTrue="1" operator="equal">
      <formula>"S"</formula>
    </cfRule>
    <cfRule type="cellIs" dxfId="76" priority="136" stopIfTrue="1" operator="equal">
      <formula>"D"</formula>
    </cfRule>
  </conditionalFormatting>
  <conditionalFormatting sqref="O8">
    <cfRule type="cellIs" dxfId="75" priority="97" stopIfTrue="1" operator="equal">
      <formula>"S"</formula>
    </cfRule>
    <cfRule type="cellIs" dxfId="74" priority="98" stopIfTrue="1" operator="equal">
      <formula>"D"</formula>
    </cfRule>
  </conditionalFormatting>
  <conditionalFormatting sqref="X8">
    <cfRule type="cellIs" dxfId="73" priority="79" stopIfTrue="1" operator="equal">
      <formula>"S"</formula>
    </cfRule>
    <cfRule type="cellIs" dxfId="72" priority="80" stopIfTrue="1" operator="equal">
      <formula>"D"</formula>
    </cfRule>
  </conditionalFormatting>
  <conditionalFormatting sqref="X16">
    <cfRule type="cellIs" dxfId="71" priority="77" stopIfTrue="1" operator="equal">
      <formula>"S"</formula>
    </cfRule>
    <cfRule type="cellIs" dxfId="70" priority="78" stopIfTrue="1" operator="equal">
      <formula>"D"</formula>
    </cfRule>
  </conditionalFormatting>
  <conditionalFormatting sqref="X16">
    <cfRule type="cellIs" dxfId="69" priority="75" stopIfTrue="1" operator="equal">
      <formula>"S"</formula>
    </cfRule>
    <cfRule type="cellIs" dxfId="68" priority="76" stopIfTrue="1" operator="equal">
      <formula>"D"</formula>
    </cfRule>
  </conditionalFormatting>
  <conditionalFormatting sqref="X7">
    <cfRule type="cellIs" dxfId="67" priority="73" stopIfTrue="1" operator="equal">
      <formula>"S"</formula>
    </cfRule>
    <cfRule type="cellIs" dxfId="66" priority="74" stopIfTrue="1" operator="equal">
      <formula>"D"</formula>
    </cfRule>
  </conditionalFormatting>
  <conditionalFormatting sqref="AN16">
    <cfRule type="cellIs" dxfId="65" priority="69" stopIfTrue="1" operator="equal">
      <formula>"S"</formula>
    </cfRule>
    <cfRule type="cellIs" dxfId="64" priority="70" stopIfTrue="1" operator="equal">
      <formula>"D"</formula>
    </cfRule>
  </conditionalFormatting>
  <conditionalFormatting sqref="F8">
    <cfRule type="cellIs" dxfId="63" priority="61" stopIfTrue="1" operator="equal">
      <formula>"S"</formula>
    </cfRule>
    <cfRule type="cellIs" dxfId="62" priority="62" stopIfTrue="1" operator="equal">
      <formula>"D"</formula>
    </cfRule>
  </conditionalFormatting>
  <conditionalFormatting sqref="F8">
    <cfRule type="cellIs" dxfId="61" priority="59" stopIfTrue="1" operator="equal">
      <formula>"S"</formula>
    </cfRule>
    <cfRule type="cellIs" dxfId="60" priority="60" stopIfTrue="1" operator="equal">
      <formula>"D"</formula>
    </cfRule>
  </conditionalFormatting>
  <conditionalFormatting sqref="G7">
    <cfRule type="cellIs" dxfId="59" priority="57" stopIfTrue="1" operator="equal">
      <formula>"S"</formula>
    </cfRule>
    <cfRule type="cellIs" dxfId="58" priority="58" stopIfTrue="1" operator="equal">
      <formula>"D"</formula>
    </cfRule>
  </conditionalFormatting>
  <conditionalFormatting sqref="G7">
    <cfRule type="cellIs" dxfId="57" priority="55" stopIfTrue="1" operator="equal">
      <formula>"S"</formula>
    </cfRule>
    <cfRule type="cellIs" dxfId="56" priority="56" stopIfTrue="1" operator="equal">
      <formula>"D"</formula>
    </cfRule>
  </conditionalFormatting>
  <conditionalFormatting sqref="X9">
    <cfRule type="cellIs" dxfId="55" priority="43" stopIfTrue="1" operator="equal">
      <formula>"S"</formula>
    </cfRule>
    <cfRule type="cellIs" dxfId="54" priority="44" stopIfTrue="1" operator="equal">
      <formula>"D"</formula>
    </cfRule>
  </conditionalFormatting>
  <conditionalFormatting sqref="X10">
    <cfRule type="cellIs" dxfId="53" priority="39" stopIfTrue="1" operator="equal">
      <formula>"S"</formula>
    </cfRule>
    <cfRule type="cellIs" dxfId="52" priority="40" stopIfTrue="1" operator="equal">
      <formula>"D"</formula>
    </cfRule>
  </conditionalFormatting>
  <conditionalFormatting sqref="V8:W9 W7">
    <cfRule type="cellIs" dxfId="51" priority="33" stopIfTrue="1" operator="equal">
      <formula>"S"</formula>
    </cfRule>
    <cfRule type="cellIs" dxfId="50" priority="34" stopIfTrue="1" operator="equal">
      <formula>"D"</formula>
    </cfRule>
  </conditionalFormatting>
  <conditionalFormatting sqref="V7">
    <cfRule type="cellIs" dxfId="49" priority="27" stopIfTrue="1" operator="equal">
      <formula>"S"</formula>
    </cfRule>
    <cfRule type="cellIs" dxfId="48" priority="28" stopIfTrue="1" operator="equal">
      <formula>"D"</formula>
    </cfRule>
  </conditionalFormatting>
  <conditionalFormatting sqref="F9:J21">
    <cfRule type="cellIs" dxfId="47" priority="13" stopIfTrue="1" operator="equal">
      <formula>"S"</formula>
    </cfRule>
    <cfRule type="cellIs" dxfId="46" priority="14" stopIfTrue="1" operator="equal">
      <formula>"D"</formula>
    </cfRule>
  </conditionalFormatting>
  <conditionalFormatting sqref="V20:Y29">
    <cfRule type="cellIs" dxfId="45" priority="11" stopIfTrue="1" operator="equal">
      <formula>"S"</formula>
    </cfRule>
    <cfRule type="cellIs" dxfId="44" priority="12" stopIfTrue="1" operator="equal">
      <formula>"D"</formula>
    </cfRule>
  </conditionalFormatting>
  <conditionalFormatting sqref="F29:I31 F33:G33 G32:I32 F35:I35 F34 H34:I34 I33">
    <cfRule type="cellIs" dxfId="43" priority="7" stopIfTrue="1" operator="equal">
      <formula>"S"</formula>
    </cfRule>
    <cfRule type="cellIs" dxfId="42" priority="8" stopIfTrue="1" operator="equal">
      <formula>"D"</formula>
    </cfRule>
  </conditionalFormatting>
  <conditionalFormatting sqref="AD9:AG17">
    <cfRule type="cellIs" dxfId="41" priority="5" stopIfTrue="1" operator="equal">
      <formula>"S"</formula>
    </cfRule>
    <cfRule type="cellIs" dxfId="40" priority="6" stopIfTrue="1" operator="equal">
      <formula>"D"</formula>
    </cfRule>
  </conditionalFormatting>
  <conditionalFormatting sqref="H33">
    <cfRule type="cellIs" dxfId="39" priority="3" stopIfTrue="1" operator="equal">
      <formula>"S"</formula>
    </cfRule>
    <cfRule type="cellIs" dxfId="38" priority="4" stopIfTrue="1" operator="equal">
      <formula>"D"</formula>
    </cfRule>
  </conditionalFormatting>
  <conditionalFormatting sqref="H33">
    <cfRule type="cellIs" dxfId="37" priority="1" stopIfTrue="1" operator="equal">
      <formula>"S"</formula>
    </cfRule>
    <cfRule type="cellIs" dxfId="36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403860</xdr:colOff>
                    <xdr:row>19</xdr:row>
                    <xdr:rowOff>213360</xdr:rowOff>
                  </from>
                  <to>
                    <xdr:col>95</xdr:col>
                    <xdr:colOff>213360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9" sqref="E19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302" t="s">
        <v>108</v>
      </c>
      <c r="C2" s="302"/>
      <c r="D2" s="302"/>
      <c r="E2" s="302"/>
      <c r="F2" s="302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220"/>
      <c r="C6" s="134"/>
      <c r="D6" s="129"/>
      <c r="E6" s="136"/>
      <c r="F6" s="138"/>
    </row>
    <row r="7" spans="1:98" s="24" customFormat="1" x14ac:dyDescent="0.25">
      <c r="B7" s="60"/>
      <c r="C7" s="135"/>
      <c r="D7" s="1"/>
      <c r="E7" s="137"/>
      <c r="F7" s="139"/>
    </row>
    <row r="8" spans="1:98" s="24" customFormat="1" x14ac:dyDescent="0.25">
      <c r="B8" s="60"/>
      <c r="C8" s="135"/>
      <c r="D8" s="1"/>
      <c r="E8" s="137"/>
      <c r="F8" s="139"/>
    </row>
    <row r="9" spans="1:98" s="24" customFormat="1" x14ac:dyDescent="0.25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5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5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5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5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5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5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5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5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5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5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5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5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5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5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5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5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5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5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5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5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5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5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5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5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5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5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5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5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5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5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5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5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5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5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5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5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5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5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5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5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5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5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5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5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5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5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5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5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5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5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5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5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5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5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5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5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5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5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5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5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5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5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5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5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5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5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5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5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5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5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5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5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5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5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5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5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5">
      <c r="B86" s="60"/>
      <c r="C86" s="135"/>
      <c r="D86" s="1"/>
      <c r="E86" s="137"/>
      <c r="F86" s="149"/>
    </row>
    <row r="87" spans="2:8" s="24" customFormat="1" x14ac:dyDescent="0.25">
      <c r="B87" s="60"/>
      <c r="C87" s="135"/>
      <c r="D87" s="1"/>
      <c r="E87" s="137"/>
      <c r="F87" s="139"/>
    </row>
    <row r="88" spans="2:8" s="24" customFormat="1" x14ac:dyDescent="0.25">
      <c r="B88" s="60"/>
      <c r="C88" s="135"/>
      <c r="D88" s="1"/>
      <c r="E88" s="137"/>
      <c r="F88" s="139"/>
    </row>
    <row r="89" spans="2:8" s="24" customFormat="1" x14ac:dyDescent="0.25">
      <c r="B89" s="60"/>
      <c r="C89" s="135"/>
      <c r="D89" s="1"/>
      <c r="E89" s="137"/>
      <c r="F89" s="139"/>
    </row>
    <row r="90" spans="2:8" s="24" customFormat="1" x14ac:dyDescent="0.25">
      <c r="B90" s="60"/>
      <c r="C90" s="135"/>
      <c r="D90" s="1"/>
      <c r="E90" s="137"/>
      <c r="F90" s="139"/>
    </row>
    <row r="91" spans="2:8" s="24" customFormat="1" x14ac:dyDescent="0.25">
      <c r="B91" s="60"/>
      <c r="C91" s="135"/>
      <c r="D91" s="1"/>
      <c r="E91" s="137"/>
      <c r="F91" s="150"/>
    </row>
    <row r="92" spans="2:8" s="24" customFormat="1" x14ac:dyDescent="0.25">
      <c r="B92" s="60"/>
      <c r="C92" s="135"/>
      <c r="D92" s="1"/>
      <c r="E92" s="137"/>
      <c r="F92" s="139"/>
    </row>
    <row r="93" spans="2:8" s="24" customFormat="1" x14ac:dyDescent="0.25">
      <c r="B93" s="60"/>
      <c r="C93" s="135"/>
      <c r="D93" s="1"/>
      <c r="E93" s="137"/>
      <c r="F93" s="139"/>
    </row>
    <row r="94" spans="2:8" s="24" customFormat="1" x14ac:dyDescent="0.25">
      <c r="B94" s="60"/>
      <c r="C94" s="135"/>
      <c r="D94" s="1"/>
      <c r="E94" s="137"/>
      <c r="F94" s="150"/>
    </row>
    <row r="95" spans="2:8" s="24" customFormat="1" x14ac:dyDescent="0.25">
      <c r="B95" s="60"/>
      <c r="C95" s="135"/>
      <c r="D95" s="1"/>
      <c r="E95" s="137"/>
      <c r="F95" s="139"/>
    </row>
    <row r="96" spans="2:8" s="24" customFormat="1" x14ac:dyDescent="0.25">
      <c r="B96" s="60"/>
      <c r="C96" s="135"/>
      <c r="D96" s="1"/>
      <c r="E96" s="137"/>
      <c r="F96" s="150"/>
    </row>
    <row r="97" spans="2:6" s="24" customFormat="1" x14ac:dyDescent="0.25">
      <c r="B97" s="60"/>
      <c r="C97" s="135"/>
      <c r="D97" s="1"/>
      <c r="E97" s="137"/>
      <c r="F97" s="150"/>
    </row>
    <row r="98" spans="2:6" s="24" customFormat="1" x14ac:dyDescent="0.25">
      <c r="B98" s="61"/>
      <c r="C98" s="135"/>
      <c r="D98" s="1"/>
      <c r="E98" s="137"/>
      <c r="F98" s="150"/>
    </row>
    <row r="99" spans="2:6" s="24" customFormat="1" x14ac:dyDescent="0.25">
      <c r="B99" s="61"/>
      <c r="C99" s="135"/>
      <c r="D99" s="1"/>
      <c r="E99" s="137"/>
      <c r="F99" s="150"/>
    </row>
    <row r="100" spans="2:6" s="24" customFormat="1" x14ac:dyDescent="0.25">
      <c r="B100" s="60"/>
      <c r="C100" s="135"/>
      <c r="D100" s="1"/>
      <c r="E100" s="137"/>
      <c r="F100" s="150"/>
    </row>
    <row r="101" spans="2:6" s="24" customFormat="1" x14ac:dyDescent="0.25">
      <c r="B101" s="60"/>
      <c r="C101" s="135"/>
      <c r="D101" s="1"/>
      <c r="E101" s="151"/>
      <c r="F101" s="150"/>
    </row>
    <row r="102" spans="2:6" s="24" customFormat="1" x14ac:dyDescent="0.25">
      <c r="B102" s="60"/>
      <c r="C102" s="135"/>
      <c r="D102" s="1"/>
      <c r="E102" s="151"/>
      <c r="F102" s="150"/>
    </row>
    <row r="103" spans="2:6" s="24" customFormat="1" x14ac:dyDescent="0.25">
      <c r="B103" s="60"/>
      <c r="C103" s="135"/>
      <c r="D103" s="1"/>
      <c r="E103" s="137"/>
      <c r="F103" s="150"/>
    </row>
    <row r="104" spans="2:6" s="24" customFormat="1" x14ac:dyDescent="0.25">
      <c r="B104" s="60"/>
      <c r="C104" s="135"/>
      <c r="D104" s="1"/>
      <c r="E104" s="137"/>
      <c r="F104" s="149"/>
    </row>
    <row r="105" spans="2:6" s="24" customFormat="1" x14ac:dyDescent="0.25">
      <c r="B105" s="60"/>
      <c r="C105" s="135"/>
      <c r="D105" s="1"/>
      <c r="E105" s="137"/>
      <c r="F105" s="150"/>
    </row>
    <row r="106" spans="2:6" s="24" customFormat="1" x14ac:dyDescent="0.25">
      <c r="B106" s="60"/>
      <c r="C106" s="135"/>
      <c r="D106" s="1"/>
      <c r="E106" s="137"/>
      <c r="F106" s="139"/>
    </row>
    <row r="107" spans="2:6" s="24" customFormat="1" x14ac:dyDescent="0.25">
      <c r="B107" s="60"/>
      <c r="C107" s="135"/>
      <c r="D107" s="1"/>
      <c r="E107" s="151"/>
      <c r="F107" s="150"/>
    </row>
    <row r="108" spans="2:6" s="24" customFormat="1" x14ac:dyDescent="0.25">
      <c r="B108" s="60"/>
      <c r="C108" s="135"/>
      <c r="D108" s="1"/>
      <c r="E108" s="151"/>
      <c r="F108" s="150"/>
    </row>
    <row r="109" spans="2:6" s="24" customFormat="1" x14ac:dyDescent="0.25">
      <c r="B109" s="60"/>
      <c r="C109" s="135"/>
      <c r="D109" s="1"/>
      <c r="E109" s="151"/>
      <c r="F109" s="150"/>
    </row>
    <row r="110" spans="2:6" s="24" customFormat="1" x14ac:dyDescent="0.25">
      <c r="B110" s="60"/>
      <c r="C110" s="135"/>
      <c r="D110" s="1"/>
      <c r="E110" s="137"/>
      <c r="F110" s="150"/>
    </row>
    <row r="111" spans="2:6" s="24" customFormat="1" x14ac:dyDescent="0.25">
      <c r="B111" s="60"/>
      <c r="C111" s="135"/>
      <c r="D111" s="1"/>
      <c r="E111" s="137"/>
      <c r="F111" s="139"/>
    </row>
    <row r="112" spans="2:6" s="24" customFormat="1" x14ac:dyDescent="0.25">
      <c r="B112" s="60"/>
      <c r="C112" s="135"/>
      <c r="D112" s="1"/>
      <c r="E112" s="137"/>
      <c r="F112" s="139"/>
    </row>
    <row r="113" spans="2:6" s="24" customFormat="1" x14ac:dyDescent="0.25">
      <c r="B113" s="60"/>
      <c r="C113" s="135"/>
      <c r="D113" s="1"/>
      <c r="E113" s="137"/>
      <c r="F113" s="139"/>
    </row>
    <row r="114" spans="2:6" s="24" customFormat="1" x14ac:dyDescent="0.25">
      <c r="B114" s="60"/>
      <c r="C114" s="135"/>
      <c r="D114" s="1"/>
      <c r="E114" s="137"/>
      <c r="F114" s="139"/>
    </row>
    <row r="115" spans="2:6" s="24" customFormat="1" x14ac:dyDescent="0.25">
      <c r="B115" s="60"/>
      <c r="C115" s="135"/>
      <c r="D115" s="1"/>
      <c r="E115" s="137"/>
      <c r="F115" s="139"/>
    </row>
    <row r="116" spans="2:6" s="24" customFormat="1" x14ac:dyDescent="0.25">
      <c r="B116" s="60"/>
      <c r="C116" s="135"/>
      <c r="D116" s="1"/>
      <c r="E116" s="137"/>
      <c r="F116" s="150"/>
    </row>
    <row r="117" spans="2:6" s="24" customFormat="1" x14ac:dyDescent="0.25">
      <c r="B117" s="60"/>
      <c r="C117" s="135"/>
      <c r="D117" s="1"/>
      <c r="E117" s="137"/>
      <c r="F117" s="150"/>
    </row>
    <row r="118" spans="2:6" s="24" customFormat="1" x14ac:dyDescent="0.25">
      <c r="B118" s="60"/>
      <c r="C118" s="135"/>
      <c r="D118" s="1"/>
      <c r="E118" s="137"/>
      <c r="F118" s="139"/>
    </row>
    <row r="119" spans="2:6" s="24" customFormat="1" x14ac:dyDescent="0.25">
      <c r="B119" s="60"/>
      <c r="C119" s="135"/>
      <c r="D119" s="1"/>
      <c r="E119" s="137"/>
      <c r="F119" s="139"/>
    </row>
    <row r="120" spans="2:6" s="24" customFormat="1" x14ac:dyDescent="0.25">
      <c r="B120" s="61"/>
      <c r="C120" s="135"/>
      <c r="D120" s="1"/>
      <c r="E120" s="137"/>
      <c r="F120" s="150"/>
    </row>
    <row r="121" spans="2:6" s="24" customFormat="1" x14ac:dyDescent="0.25">
      <c r="B121" s="61"/>
      <c r="C121" s="135"/>
      <c r="D121" s="1"/>
      <c r="E121" s="137"/>
      <c r="F121" s="150"/>
    </row>
    <row r="122" spans="2:6" s="24" customFormat="1" x14ac:dyDescent="0.25">
      <c r="B122" s="60"/>
      <c r="C122" s="135"/>
      <c r="D122" s="1"/>
      <c r="E122" s="137"/>
      <c r="F122" s="139"/>
    </row>
    <row r="123" spans="2:6" s="24" customFormat="1" x14ac:dyDescent="0.25">
      <c r="B123" s="60"/>
      <c r="C123" s="135"/>
      <c r="D123" s="1"/>
      <c r="E123" s="151"/>
      <c r="F123" s="150"/>
    </row>
    <row r="124" spans="2:6" s="24" customFormat="1" x14ac:dyDescent="0.25">
      <c r="B124" s="60"/>
      <c r="C124" s="135"/>
      <c r="D124" s="1"/>
      <c r="E124" s="151"/>
      <c r="F124" s="150"/>
    </row>
    <row r="125" spans="2:6" s="24" customFormat="1" x14ac:dyDescent="0.25">
      <c r="B125" s="60"/>
      <c r="C125" s="135"/>
      <c r="D125" s="1"/>
      <c r="E125" s="151"/>
      <c r="F125" s="150"/>
    </row>
    <row r="126" spans="2:6" s="24" customFormat="1" x14ac:dyDescent="0.25">
      <c r="B126" s="60"/>
      <c r="C126" s="135"/>
      <c r="D126" s="1"/>
      <c r="E126" s="151"/>
      <c r="F126" s="150"/>
    </row>
    <row r="127" spans="2:6" s="24" customFormat="1" x14ac:dyDescent="0.25">
      <c r="B127" s="60"/>
      <c r="C127" s="135"/>
      <c r="D127" s="1"/>
      <c r="E127" s="151"/>
      <c r="F127" s="150"/>
    </row>
    <row r="128" spans="2:6" s="24" customFormat="1" x14ac:dyDescent="0.25">
      <c r="B128" s="60"/>
      <c r="C128" s="135"/>
      <c r="D128" s="1"/>
      <c r="E128" s="137"/>
      <c r="F128" s="150"/>
    </row>
    <row r="129" spans="2:6" s="24" customFormat="1" x14ac:dyDescent="0.25">
      <c r="B129" s="61"/>
      <c r="C129" s="152"/>
      <c r="D129" s="1"/>
      <c r="E129" s="153"/>
      <c r="F129" s="154"/>
    </row>
    <row r="130" spans="2:6" s="24" customFormat="1" x14ac:dyDescent="0.25">
      <c r="B130" s="61"/>
      <c r="C130" s="152"/>
      <c r="D130" s="1"/>
      <c r="E130" s="153"/>
      <c r="F130" s="154"/>
    </row>
    <row r="131" spans="2:6" s="24" customFormat="1" x14ac:dyDescent="0.25">
      <c r="B131" s="61"/>
      <c r="C131" s="152"/>
      <c r="D131" s="1"/>
      <c r="E131" s="153"/>
      <c r="F131" s="154"/>
    </row>
    <row r="132" spans="2:6" s="24" customFormat="1" x14ac:dyDescent="0.25">
      <c r="B132" s="61"/>
      <c r="C132" s="152"/>
      <c r="D132" s="1"/>
      <c r="E132" s="153"/>
      <c r="F132" s="154"/>
    </row>
    <row r="133" spans="2:6" s="24" customFormat="1" x14ac:dyDescent="0.25">
      <c r="B133" s="61"/>
      <c r="C133" s="152"/>
      <c r="D133" s="1"/>
      <c r="E133" s="153"/>
      <c r="F133" s="154"/>
    </row>
    <row r="134" spans="2:6" s="24" customFormat="1" x14ac:dyDescent="0.25">
      <c r="B134" s="61"/>
      <c r="C134" s="152"/>
      <c r="D134" s="1"/>
      <c r="E134" s="153"/>
      <c r="F134" s="154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M2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E12" sqref="E12"/>
    </sheetView>
  </sheetViews>
  <sheetFormatPr defaultColWidth="11.44140625" defaultRowHeight="13.2" x14ac:dyDescent="0.25"/>
  <cols>
    <col min="1" max="1" width="13.44140625" style="206" customWidth="1"/>
    <col min="2" max="2" width="17.44140625" style="207" customWidth="1"/>
    <col min="3" max="3" width="9.6640625" style="208" customWidth="1"/>
    <col min="4" max="4" width="6.5546875" style="205" hidden="1" customWidth="1"/>
    <col min="5" max="5" width="26.44140625" style="207" customWidth="1"/>
    <col min="6" max="6" width="8.44140625" style="208" bestFit="1" customWidth="1"/>
    <col min="7" max="7" width="14.6640625" style="213" bestFit="1" customWidth="1"/>
    <col min="8" max="8" width="10.33203125" style="213" customWidth="1"/>
    <col min="9" max="9" width="0.44140625" style="205" hidden="1" customWidth="1"/>
    <col min="10" max="10" width="0.5546875" style="205" hidden="1" customWidth="1"/>
    <col min="11" max="11" width="15.77734375" style="209" customWidth="1"/>
    <col min="12" max="12" width="6.5546875" style="205" hidden="1" customWidth="1"/>
    <col min="13" max="13" width="24" style="205" bestFit="1" customWidth="1"/>
    <col min="14" max="16384" width="11.44140625" style="205"/>
  </cols>
  <sheetData>
    <row r="1" spans="1:13" x14ac:dyDescent="0.25">
      <c r="A1" s="228" t="s">
        <v>132</v>
      </c>
      <c r="B1" s="199" t="s">
        <v>133</v>
      </c>
      <c r="C1" s="200" t="s">
        <v>140</v>
      </c>
      <c r="D1" s="205" t="s">
        <v>113</v>
      </c>
      <c r="E1" s="199" t="s">
        <v>110</v>
      </c>
      <c r="F1" s="200" t="s">
        <v>135</v>
      </c>
      <c r="G1" s="212" t="s">
        <v>127</v>
      </c>
      <c r="H1" s="212" t="s">
        <v>128</v>
      </c>
      <c r="I1" s="200" t="s">
        <v>111</v>
      </c>
      <c r="J1" s="200" t="s">
        <v>112</v>
      </c>
      <c r="K1" s="201" t="s">
        <v>125</v>
      </c>
      <c r="L1" s="210" t="s">
        <v>119</v>
      </c>
      <c r="M1" s="210" t="s">
        <v>136</v>
      </c>
    </row>
    <row r="2" spans="1:13" x14ac:dyDescent="0.25">
      <c r="A2" s="218"/>
      <c r="B2" s="229"/>
      <c r="C2" s="230"/>
      <c r="D2" s="231"/>
      <c r="E2" s="232"/>
      <c r="F2" s="233"/>
      <c r="G2" s="234"/>
      <c r="H2" s="234"/>
      <c r="I2" s="235"/>
      <c r="J2" s="231"/>
      <c r="K2" s="236"/>
      <c r="L2" s="231"/>
      <c r="M2" s="231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10"/>
  <sheetViews>
    <sheetView zoomScale="220" zoomScaleNormal="220" workbookViewId="0">
      <pane ySplit="1" topLeftCell="A2" activePane="bottomLeft" state="frozen"/>
      <selection pane="bottomLeft" activeCell="D7" sqref="D7"/>
    </sheetView>
  </sheetViews>
  <sheetFormatPr defaultRowHeight="13.2" x14ac:dyDescent="0.25"/>
  <cols>
    <col min="1" max="1" width="13.88671875" customWidth="1"/>
    <col min="2" max="2" width="11.88671875" customWidth="1"/>
    <col min="5" max="5" width="13.44140625" customWidth="1"/>
    <col min="6" max="6" width="12.6640625" customWidth="1"/>
  </cols>
  <sheetData>
    <row r="1" spans="1:6" x14ac:dyDescent="0.25">
      <c r="A1" s="116" t="s">
        <v>129</v>
      </c>
      <c r="B1" s="99" t="s">
        <v>118</v>
      </c>
      <c r="C1" s="99" t="s">
        <v>130</v>
      </c>
      <c r="D1" s="99" t="s">
        <v>131</v>
      </c>
      <c r="E1" s="99" t="s">
        <v>127</v>
      </c>
      <c r="F1" s="224" t="s">
        <v>128</v>
      </c>
    </row>
    <row r="2" spans="1:6" x14ac:dyDescent="0.25">
      <c r="A2" s="229"/>
      <c r="B2" s="218"/>
      <c r="D2" s="225"/>
      <c r="E2" s="226"/>
      <c r="F2" s="219"/>
    </row>
    <row r="3" spans="1:6" x14ac:dyDescent="0.25">
      <c r="A3" s="229"/>
      <c r="B3" s="218"/>
      <c r="C3" s="229"/>
      <c r="D3" s="229"/>
      <c r="E3" s="229"/>
      <c r="F3" s="229"/>
    </row>
    <row r="4" spans="1:6" x14ac:dyDescent="0.25">
      <c r="A4" s="229"/>
      <c r="B4" s="218"/>
      <c r="C4" s="229"/>
      <c r="D4" s="229"/>
      <c r="E4" s="229"/>
      <c r="F4" s="229"/>
    </row>
    <row r="5" spans="1:6" x14ac:dyDescent="0.25">
      <c r="A5" s="229"/>
      <c r="B5" s="218"/>
      <c r="C5" s="229"/>
      <c r="D5" s="229"/>
      <c r="E5" s="229"/>
      <c r="F5" s="229"/>
    </row>
    <row r="6" spans="1:6" x14ac:dyDescent="0.25">
      <c r="A6" s="229"/>
      <c r="B6" s="218"/>
      <c r="C6" s="229"/>
      <c r="D6" s="229"/>
      <c r="E6" s="229"/>
      <c r="F6" s="229"/>
    </row>
    <row r="7" spans="1:6" x14ac:dyDescent="0.25">
      <c r="A7" s="229"/>
      <c r="B7" s="218"/>
      <c r="C7" s="229"/>
      <c r="D7" s="229"/>
      <c r="E7" s="229"/>
      <c r="F7" s="229"/>
    </row>
    <row r="8" spans="1:6" x14ac:dyDescent="0.25">
      <c r="A8" s="229"/>
      <c r="B8" s="218"/>
      <c r="C8" s="229"/>
      <c r="D8" s="229"/>
      <c r="E8" s="229"/>
      <c r="F8" s="229"/>
    </row>
    <row r="9" spans="1:6" x14ac:dyDescent="0.25">
      <c r="A9" s="229"/>
      <c r="B9" s="218"/>
      <c r="C9" s="229"/>
      <c r="D9" s="229"/>
      <c r="E9" s="229"/>
      <c r="F9" s="229"/>
    </row>
    <row r="10" spans="1:6" x14ac:dyDescent="0.25">
      <c r="A10" s="229"/>
      <c r="B10" s="229"/>
      <c r="C10" s="229"/>
      <c r="D10" s="229"/>
      <c r="E10" s="229"/>
      <c r="F10" s="22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O5"/>
  <sheetViews>
    <sheetView workbookViewId="0">
      <selection activeCell="A5" sqref="A5"/>
    </sheetView>
  </sheetViews>
  <sheetFormatPr defaultRowHeight="13.2" x14ac:dyDescent="0.25"/>
  <cols>
    <col min="6" max="6" width="10.109375" bestFit="1" customWidth="1"/>
    <col min="7" max="7" width="10.21875" customWidth="1"/>
    <col min="10" max="10" width="22.109375" bestFit="1" customWidth="1"/>
    <col min="11" max="11" width="15.5546875" bestFit="1" customWidth="1"/>
    <col min="12" max="12" width="13.5546875" bestFit="1" customWidth="1"/>
    <col min="13" max="13" width="21.33203125" bestFit="1" customWidth="1"/>
    <col min="14" max="14" width="13.6640625" customWidth="1"/>
    <col min="15" max="15" width="25" bestFit="1" customWidth="1"/>
  </cols>
  <sheetData>
    <row r="1" spans="1:15" x14ac:dyDescent="0.25">
      <c r="A1" s="202" t="s">
        <v>114</v>
      </c>
      <c r="F1" s="199" t="s">
        <v>132</v>
      </c>
      <c r="G1" s="199" t="s">
        <v>133</v>
      </c>
      <c r="H1" s="199" t="s">
        <v>134</v>
      </c>
      <c r="I1" s="199" t="s">
        <v>135</v>
      </c>
      <c r="J1" s="199" t="s">
        <v>136</v>
      </c>
      <c r="K1" s="199" t="s">
        <v>137</v>
      </c>
      <c r="L1" s="199" t="s">
        <v>138</v>
      </c>
      <c r="M1" s="199" t="s">
        <v>139</v>
      </c>
      <c r="N1" s="199" t="s">
        <v>141</v>
      </c>
      <c r="O1" s="199" t="s">
        <v>142</v>
      </c>
    </row>
    <row r="2" spans="1:15" x14ac:dyDescent="0.25">
      <c r="A2" s="202" t="s">
        <v>115</v>
      </c>
      <c r="F2" s="218"/>
      <c r="G2" s="237"/>
      <c r="H2" s="237"/>
      <c r="I2" s="237"/>
      <c r="J2" s="237"/>
      <c r="K2" s="227"/>
      <c r="L2" s="227"/>
      <c r="M2" s="237"/>
      <c r="N2" s="237"/>
      <c r="O2" s="237"/>
    </row>
    <row r="3" spans="1:15" x14ac:dyDescent="0.25">
      <c r="A3" s="202" t="s">
        <v>120</v>
      </c>
    </row>
    <row r="4" spans="1:15" x14ac:dyDescent="0.25">
      <c r="A4" s="202" t="s">
        <v>117</v>
      </c>
      <c r="C4" s="211"/>
    </row>
    <row r="5" spans="1:15" x14ac:dyDescent="0.25">
      <c r="A5" t="s">
        <v>126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2022-11-16T15:11:44Z</dcterms:modified>
</cp:coreProperties>
</file>