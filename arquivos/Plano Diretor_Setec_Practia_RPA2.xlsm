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3.xml" ContentType="application/vnd.openxmlformats-officedocument.spreadsheetml.comments+xml"/>
  <Override PartName="/xl/threadedComments/threadedComment2.xml" ContentType="application/vnd.ms-excel.threadedcomments+xml"/>
  <Override PartName="/xl/comments4.xml" ContentType="application/vnd.openxmlformats-officedocument.spreadsheetml.comments+xml"/>
  <Override PartName="/xl/threadedComments/threadedComment3.xml" ContentType="application/vnd.ms-excel.threaded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USER\Documents\Git\Practia\arquivos\"/>
    </mc:Choice>
  </mc:AlternateContent>
  <xr:revisionPtr revIDLastSave="0" documentId="13_ncr:1_{7A06BC9F-C76D-47DC-B883-F23F08BF12BB}" xr6:coauthVersionLast="47" xr6:coauthVersionMax="47" xr10:uidLastSave="{00000000-0000-0000-0000-000000000000}"/>
  <bookViews>
    <workbookView xWindow="-120" yWindow="-120" windowWidth="20730" windowHeight="11160" tabRatio="755" activeTab="2" xr2:uid="{00000000-000D-0000-FFFF-FFFF00000000}"/>
  </bookViews>
  <sheets>
    <sheet name="Legendas de Agendamento" sheetId="15" r:id="rId1"/>
    <sheet name="Plano Diretor" sheetId="1" r:id="rId2"/>
    <sheet name="Agenda de Consultoria" sheetId="9" r:id="rId3"/>
    <sheet name="Relatório de Consultoria" sheetId="10" r:id="rId4"/>
    <sheet name="Agendamento" sheetId="16" r:id="rId5"/>
    <sheet name="Remarcados" sheetId="18" r:id="rId6"/>
    <sheet name="configStatus" sheetId="17" state="hidden" r:id="rId7"/>
    <sheet name="Resumo" sheetId="14" state="hidden" r:id="rId8"/>
  </sheets>
  <functionGroups builtInGroupCount="19"/>
  <definedNames>
    <definedName name="_xlnm._FilterDatabase" localSheetId="3" hidden="1">'Relatório de Consultoria'!$B$5:$F$5</definedName>
    <definedName name="_xlnm.Print_Area" localSheetId="4">Agendamento!$A$1:$C$4</definedName>
    <definedName name="_xlnm.Print_Area" localSheetId="1">'Plano Diretor'!$A$1:$BD$38</definedName>
    <definedName name="_xlnm.Print_Area" localSheetId="3">'Relatório de Consultoria'!$A$1:$G$162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5" i="15" l="1"/>
  <c r="B14" i="15"/>
  <c r="AH47" i="9"/>
  <c r="H24" i="10"/>
  <c r="H21" i="10" l="1"/>
  <c r="H20" i="10"/>
  <c r="H19" i="10" l="1"/>
  <c r="H18" i="10"/>
  <c r="F1" i="10"/>
  <c r="H17" i="10"/>
  <c r="H16" i="10"/>
  <c r="H15" i="10"/>
  <c r="H14" i="10" l="1"/>
  <c r="H12" i="10"/>
  <c r="H13" i="10" l="1"/>
  <c r="H11" i="10"/>
  <c r="H10" i="10" l="1"/>
  <c r="H9" i="10"/>
  <c r="H63" i="10" l="1"/>
  <c r="AU438" i="9" l="1"/>
  <c r="AE438" i="9"/>
  <c r="AM438" i="9"/>
  <c r="H49" i="10"/>
  <c r="AL437" i="9"/>
  <c r="BB437" i="9"/>
  <c r="BJ437" i="9"/>
  <c r="BZ437" i="9"/>
  <c r="O438" i="9"/>
  <c r="CA438" i="9"/>
  <c r="W438" i="9"/>
  <c r="G438" i="9"/>
  <c r="BC438" i="9"/>
  <c r="BK438" i="9"/>
  <c r="BS438" i="9"/>
  <c r="CI438" i="9"/>
  <c r="AF439" i="9"/>
  <c r="AN439" i="9"/>
  <c r="AV439" i="9"/>
  <c r="AO440" i="9"/>
  <c r="AP441" i="9"/>
  <c r="AX441" i="9"/>
  <c r="AT437" i="9"/>
  <c r="AW440" i="9"/>
  <c r="H22" i="10"/>
  <c r="H23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160" i="10"/>
  <c r="F6" i="9"/>
  <c r="N6" i="9" s="1"/>
  <c r="V6" i="9" s="1"/>
  <c r="AD6" i="9" s="1"/>
  <c r="AL6" i="9" s="1"/>
  <c r="AT6" i="9" s="1"/>
  <c r="BB6" i="9" s="1"/>
  <c r="BJ6" i="9" s="1"/>
  <c r="BR6" i="9" s="1"/>
  <c r="BZ6" i="9" s="1"/>
  <c r="CH6" i="9" s="1"/>
  <c r="G6" i="9"/>
  <c r="O6" i="9" s="1"/>
  <c r="W6" i="9" s="1"/>
  <c r="AE6" i="9" s="1"/>
  <c r="AM6" i="9" s="1"/>
  <c r="AU6" i="9" s="1"/>
  <c r="BC6" i="9" s="1"/>
  <c r="BK6" i="9" s="1"/>
  <c r="BS6" i="9" s="1"/>
  <c r="CA6" i="9" s="1"/>
  <c r="CI6" i="9" s="1"/>
  <c r="H6" i="9"/>
  <c r="J41" i="9" s="1"/>
  <c r="M41" i="9" s="1"/>
  <c r="I6" i="9"/>
  <c r="Q6" i="9" s="1"/>
  <c r="Y6" i="9" s="1"/>
  <c r="AG6" i="9" s="1"/>
  <c r="AO6" i="9" s="1"/>
  <c r="AW6" i="9" s="1"/>
  <c r="BE6" i="9" s="1"/>
  <c r="BM6" i="9" s="1"/>
  <c r="BU6" i="9" s="1"/>
  <c r="CC6" i="9" s="1"/>
  <c r="CK6" i="9" s="1"/>
  <c r="J6" i="9"/>
  <c r="AD434" i="9"/>
  <c r="AD435" i="9" s="1"/>
  <c r="N434" i="9"/>
  <c r="N435" i="9" s="1"/>
  <c r="AL434" i="9"/>
  <c r="AL435" i="9" s="1"/>
  <c r="AT434" i="9"/>
  <c r="AT435" i="9" s="1"/>
  <c r="BZ434" i="9"/>
  <c r="BZ435" i="9" s="1"/>
  <c r="V434" i="9"/>
  <c r="V435" i="9" s="1"/>
  <c r="F434" i="9"/>
  <c r="F435" i="9" s="1"/>
  <c r="BB434" i="9"/>
  <c r="BB435" i="9" s="1"/>
  <c r="BJ434" i="9"/>
  <c r="BJ435" i="9" s="1"/>
  <c r="BR434" i="9"/>
  <c r="BR435" i="9" s="1"/>
  <c r="CH434" i="9"/>
  <c r="CH435" i="9" s="1"/>
  <c r="F437" i="9"/>
  <c r="N437" i="9"/>
  <c r="P439" i="9"/>
  <c r="Q440" i="9"/>
  <c r="R441" i="9"/>
  <c r="V437" i="9"/>
  <c r="AD437" i="9"/>
  <c r="BR437" i="9"/>
  <c r="CH437" i="9"/>
  <c r="H439" i="9"/>
  <c r="X439" i="9"/>
  <c r="BD439" i="9"/>
  <c r="BL439" i="9"/>
  <c r="BT439" i="9"/>
  <c r="CB439" i="9"/>
  <c r="CJ439" i="9"/>
  <c r="I440" i="9"/>
  <c r="Y440" i="9"/>
  <c r="AG440" i="9"/>
  <c r="BE440" i="9"/>
  <c r="BM440" i="9"/>
  <c r="BU440" i="9"/>
  <c r="CC440" i="9"/>
  <c r="CK440" i="9"/>
  <c r="BF441" i="9"/>
  <c r="CD441" i="9"/>
  <c r="J441" i="9"/>
  <c r="Z441" i="9"/>
  <c r="AH441" i="9"/>
  <c r="BN441" i="9"/>
  <c r="BV441" i="9"/>
  <c r="CL441" i="9"/>
  <c r="H6" i="1"/>
  <c r="L6" i="1" s="1"/>
  <c r="D24" i="1"/>
  <c r="D26" i="1"/>
  <c r="H26" i="1" s="1"/>
  <c r="D27" i="1"/>
  <c r="H27" i="1" s="1"/>
  <c r="D28" i="1"/>
  <c r="H28" i="1" s="1"/>
  <c r="D29" i="1"/>
  <c r="H29" i="1" s="1"/>
  <c r="D30" i="1"/>
  <c r="H30" i="1" s="1"/>
  <c r="H7" i="1" l="1"/>
  <c r="J43" i="9"/>
  <c r="M43" i="9" s="1"/>
  <c r="L7" i="1"/>
  <c r="P6" i="1"/>
  <c r="T6" i="1" s="1"/>
  <c r="T7" i="1" s="1"/>
  <c r="X6" i="1"/>
  <c r="B41" i="9"/>
  <c r="E41" i="9" s="1"/>
  <c r="D25" i="1"/>
  <c r="H25" i="1" s="1"/>
  <c r="P6" i="9"/>
  <c r="X6" i="9" s="1"/>
  <c r="AF6" i="9" s="1"/>
  <c r="AN6" i="9" s="1"/>
  <c r="AV6" i="9" s="1"/>
  <c r="BD6" i="9" s="1"/>
  <c r="BL6" i="9" s="1"/>
  <c r="BT6" i="9" s="1"/>
  <c r="CB6" i="9" s="1"/>
  <c r="CJ6" i="9" s="1"/>
  <c r="C8" i="9"/>
  <c r="C59" i="9"/>
  <c r="D59" i="9" s="1"/>
  <c r="D7" i="9"/>
  <c r="E7" i="9" s="1"/>
  <c r="E440" i="9"/>
  <c r="R41" i="9"/>
  <c r="U41" i="9" s="1"/>
  <c r="R6" i="9"/>
  <c r="Z6" i="9" s="1"/>
  <c r="AH6" i="9" s="1"/>
  <c r="AP6" i="9" s="1"/>
  <c r="AX6" i="9" s="1"/>
  <c r="BF6" i="9" s="1"/>
  <c r="BN6" i="9" s="1"/>
  <c r="BV6" i="9" s="1"/>
  <c r="CD6" i="9" s="1"/>
  <c r="CL6" i="9" s="1"/>
  <c r="E441" i="9"/>
  <c r="E437" i="9"/>
  <c r="B43" i="9"/>
  <c r="E43" i="9" s="1"/>
  <c r="E47" i="9" s="1"/>
  <c r="E439" i="9"/>
  <c r="H24" i="1"/>
  <c r="E438" i="9"/>
  <c r="E434" i="9"/>
  <c r="E435" i="9"/>
  <c r="U43" i="9" l="1"/>
  <c r="U47" i="9" s="1"/>
  <c r="P7" i="1"/>
  <c r="D32" i="1"/>
  <c r="AB6" i="1"/>
  <c r="X7" i="1"/>
  <c r="D31" i="1"/>
  <c r="H31" i="1" s="1"/>
  <c r="R43" i="9"/>
  <c r="C9" i="9"/>
  <c r="D8" i="9"/>
  <c r="E8" i="9" s="1"/>
  <c r="C60" i="9"/>
  <c r="D60" i="9" s="1"/>
  <c r="AB7" i="1" l="1"/>
  <c r="AF6" i="1"/>
  <c r="D9" i="9"/>
  <c r="E9" i="9" s="1"/>
  <c r="C61" i="9"/>
  <c r="D61" i="9" s="1"/>
  <c r="C10" i="9"/>
  <c r="AF7" i="1" l="1"/>
  <c r="AJ6" i="1"/>
  <c r="C62" i="9"/>
  <c r="D62" i="9" s="1"/>
  <c r="C11" i="9"/>
  <c r="D10" i="9"/>
  <c r="E10" i="9" s="1"/>
  <c r="AN6" i="1" l="1"/>
  <c r="AJ7" i="1"/>
  <c r="D11" i="9"/>
  <c r="E11" i="9" s="1"/>
  <c r="C12" i="9"/>
  <c r="C63" i="9"/>
  <c r="D63" i="9" s="1"/>
  <c r="AN7" i="1" l="1"/>
  <c r="AR6" i="1"/>
  <c r="AV6" i="1" s="1"/>
  <c r="D12" i="9"/>
  <c r="E12" i="9" s="1"/>
  <c r="C13" i="9"/>
  <c r="C64" i="9"/>
  <c r="D64" i="9" s="1"/>
  <c r="AZ6" i="1" l="1"/>
  <c r="AR7" i="1"/>
  <c r="D13" i="9"/>
  <c r="E13" i="9" s="1"/>
  <c r="C14" i="9"/>
  <c r="C65" i="9"/>
  <c r="D65" i="9" s="1"/>
  <c r="C15" i="9" l="1"/>
  <c r="C66" i="9"/>
  <c r="D66" i="9" s="1"/>
  <c r="D14" i="9"/>
  <c r="E14" i="9" s="1"/>
  <c r="D15" i="9" l="1"/>
  <c r="E15" i="9" s="1"/>
  <c r="C67" i="9"/>
  <c r="D67" i="9" s="1"/>
  <c r="C16" i="9"/>
  <c r="C17" i="9" l="1"/>
  <c r="D16" i="9"/>
  <c r="E16" i="9" s="1"/>
  <c r="C68" i="9"/>
  <c r="D68" i="9" s="1"/>
  <c r="C69" i="9" l="1"/>
  <c r="D69" i="9" s="1"/>
  <c r="C18" i="9"/>
  <c r="D17" i="9"/>
  <c r="E17" i="9" s="1"/>
  <c r="D18" i="9" l="1"/>
  <c r="E18" i="9" s="1"/>
  <c r="C19" i="9"/>
  <c r="C70" i="9"/>
  <c r="D70" i="9" s="1"/>
  <c r="C20" i="9" l="1"/>
  <c r="D19" i="9"/>
  <c r="E19" i="9" s="1"/>
  <c r="C71" i="9"/>
  <c r="D71" i="9" s="1"/>
  <c r="C72" i="9" l="1"/>
  <c r="D72" i="9" s="1"/>
  <c r="C21" i="9"/>
  <c r="D20" i="9"/>
  <c r="E20" i="9" s="1"/>
  <c r="D21" i="9" l="1"/>
  <c r="E21" i="9" s="1"/>
  <c r="C73" i="9"/>
  <c r="D73" i="9" s="1"/>
  <c r="C22" i="9"/>
  <c r="D22" i="9" l="1"/>
  <c r="E22" i="9" s="1"/>
  <c r="C74" i="9"/>
  <c r="D74" i="9" s="1"/>
  <c r="C23" i="9"/>
  <c r="D23" i="9" l="1"/>
  <c r="E23" i="9" s="1"/>
  <c r="C75" i="9"/>
  <c r="D75" i="9" s="1"/>
  <c r="C24" i="9"/>
  <c r="C76" i="9" l="1"/>
  <c r="D76" i="9" s="1"/>
  <c r="D24" i="9"/>
  <c r="E24" i="9" s="1"/>
  <c r="C25" i="9"/>
  <c r="C26" i="9" l="1"/>
  <c r="D25" i="9"/>
  <c r="E25" i="9" s="1"/>
  <c r="C77" i="9"/>
  <c r="D77" i="9" s="1"/>
  <c r="D26" i="9" l="1"/>
  <c r="E26" i="9" s="1"/>
  <c r="C27" i="9"/>
  <c r="C78" i="9"/>
  <c r="D78" i="9" s="1"/>
  <c r="D27" i="9" l="1"/>
  <c r="E27" i="9" s="1"/>
  <c r="C28" i="9"/>
  <c r="C79" i="9"/>
  <c r="D79" i="9" s="1"/>
  <c r="C80" i="9" l="1"/>
  <c r="D80" i="9" s="1"/>
  <c r="C29" i="9"/>
  <c r="D28" i="9"/>
  <c r="E28" i="9" s="1"/>
  <c r="D29" i="9" l="1"/>
  <c r="E29" i="9" s="1"/>
  <c r="C81" i="9"/>
  <c r="D81" i="9" s="1"/>
  <c r="C30" i="9"/>
  <c r="C31" i="9" l="1"/>
  <c r="C82" i="9"/>
  <c r="D82" i="9" s="1"/>
  <c r="D30" i="9"/>
  <c r="E30" i="9" s="1"/>
  <c r="C83" i="9" l="1"/>
  <c r="D83" i="9" s="1"/>
  <c r="D31" i="9"/>
  <c r="E31" i="9" s="1"/>
  <c r="C32" i="9"/>
  <c r="C84" i="9" l="1"/>
  <c r="D84" i="9" s="1"/>
  <c r="D32" i="9"/>
  <c r="E32" i="9" s="1"/>
  <c r="C33" i="9"/>
  <c r="D33" i="9" l="1"/>
  <c r="E33" i="9" s="1"/>
  <c r="C34" i="9"/>
  <c r="C85" i="9"/>
  <c r="D85" i="9" s="1"/>
  <c r="C86" i="9" l="1"/>
  <c r="D86" i="9" s="1"/>
  <c r="D34" i="9"/>
  <c r="E34" i="9" s="1"/>
  <c r="C35" i="9"/>
  <c r="C87" i="9" l="1"/>
  <c r="D87" i="9" s="1"/>
  <c r="D35" i="9"/>
  <c r="E35" i="9" s="1"/>
  <c r="C36" i="9"/>
  <c r="D36" i="9" l="1"/>
  <c r="E36" i="9" s="1"/>
  <c r="C88" i="9"/>
  <c r="D88" i="9" s="1"/>
  <c r="C37" i="9"/>
  <c r="C89" i="9" l="1"/>
  <c r="D89" i="9" s="1"/>
  <c r="D37" i="9"/>
  <c r="E37" i="9" s="1"/>
  <c r="K4" i="9"/>
  <c r="K7" i="9" s="1"/>
  <c r="L7" i="9" l="1"/>
  <c r="M7" i="9" s="1"/>
  <c r="K8" i="9"/>
  <c r="C90" i="9"/>
  <c r="D90" i="9" s="1"/>
  <c r="K9" i="9" l="1"/>
  <c r="C91" i="9"/>
  <c r="D91" i="9" s="1"/>
  <c r="L8" i="9"/>
  <c r="M8" i="9" s="1"/>
  <c r="C92" i="9" l="1"/>
  <c r="D92" i="9" s="1"/>
  <c r="L9" i="9"/>
  <c r="M9" i="9" s="1"/>
  <c r="K10" i="9"/>
  <c r="C93" i="9" l="1"/>
  <c r="D93" i="9" s="1"/>
  <c r="L10" i="9"/>
  <c r="M10" i="9" s="1"/>
  <c r="K11" i="9"/>
  <c r="L11" i="9" l="1"/>
  <c r="M11" i="9" s="1"/>
  <c r="C94" i="9"/>
  <c r="D94" i="9" s="1"/>
  <c r="K12" i="9"/>
  <c r="C95" i="9" l="1"/>
  <c r="D95" i="9" s="1"/>
  <c r="L12" i="9"/>
  <c r="M12" i="9" s="1"/>
  <c r="K13" i="9"/>
  <c r="K14" i="9" l="1"/>
  <c r="C96" i="9"/>
  <c r="D96" i="9" s="1"/>
  <c r="L13" i="9"/>
  <c r="M13" i="9" s="1"/>
  <c r="L14" i="9" l="1"/>
  <c r="M14" i="9" s="1"/>
  <c r="K15" i="9"/>
  <c r="C97" i="9"/>
  <c r="D97" i="9" s="1"/>
  <c r="L15" i="9" l="1"/>
  <c r="M15" i="9" s="1"/>
  <c r="K16" i="9"/>
  <c r="C98" i="9"/>
  <c r="D98" i="9" s="1"/>
  <c r="K17" i="9" l="1"/>
  <c r="C99" i="9"/>
  <c r="D99" i="9" s="1"/>
  <c r="L16" i="9"/>
  <c r="M16" i="9" s="1"/>
  <c r="C100" i="9" l="1"/>
  <c r="D100" i="9" s="1"/>
  <c r="L17" i="9"/>
  <c r="M17" i="9" s="1"/>
  <c r="K18" i="9"/>
  <c r="K19" i="9" l="1"/>
  <c r="C101" i="9"/>
  <c r="D101" i="9" s="1"/>
  <c r="L18" i="9"/>
  <c r="M18" i="9" s="1"/>
  <c r="C102" i="9" l="1"/>
  <c r="D102" i="9" s="1"/>
  <c r="L19" i="9"/>
  <c r="M19" i="9" s="1"/>
  <c r="K20" i="9"/>
  <c r="C103" i="9" l="1"/>
  <c r="D103" i="9" s="1"/>
  <c r="L20" i="9"/>
  <c r="M20" i="9" s="1"/>
  <c r="K21" i="9"/>
  <c r="C104" i="9" l="1"/>
  <c r="D104" i="9" s="1"/>
  <c r="L21" i="9"/>
  <c r="M21" i="9" s="1"/>
  <c r="K22" i="9"/>
  <c r="K23" i="9" l="1"/>
  <c r="L22" i="9"/>
  <c r="M22" i="9" s="1"/>
  <c r="C105" i="9"/>
  <c r="D105" i="9" s="1"/>
  <c r="L23" i="9" l="1"/>
  <c r="M23" i="9" s="1"/>
  <c r="K24" i="9"/>
  <c r="C106" i="9"/>
  <c r="D106" i="9" s="1"/>
  <c r="K25" i="9" l="1"/>
  <c r="C107" i="9"/>
  <c r="D107" i="9" s="1"/>
  <c r="L24" i="9"/>
  <c r="M24" i="9" s="1"/>
  <c r="C108" i="9" l="1"/>
  <c r="D108" i="9" s="1"/>
  <c r="K26" i="9"/>
  <c r="L25" i="9"/>
  <c r="M25" i="9" s="1"/>
  <c r="L26" i="9" l="1"/>
  <c r="M26" i="9" s="1"/>
  <c r="C109" i="9"/>
  <c r="D109" i="9" s="1"/>
  <c r="K27" i="9"/>
  <c r="C110" i="9" l="1"/>
  <c r="D110" i="9" s="1"/>
  <c r="K28" i="9"/>
  <c r="L27" i="9"/>
  <c r="M27" i="9" s="1"/>
  <c r="L28" i="9" l="1"/>
  <c r="M28" i="9" s="1"/>
  <c r="C111" i="9"/>
  <c r="D111" i="9" s="1"/>
  <c r="K29" i="9"/>
  <c r="K30" i="9" l="1"/>
  <c r="L29" i="9"/>
  <c r="M29" i="9" s="1"/>
  <c r="C112" i="9"/>
  <c r="D112" i="9" s="1"/>
  <c r="C113" i="9" l="1"/>
  <c r="D113" i="9" s="1"/>
  <c r="L30" i="9"/>
  <c r="M30" i="9" s="1"/>
  <c r="K31" i="9"/>
  <c r="L31" i="9" l="1"/>
  <c r="M31" i="9" s="1"/>
  <c r="C114" i="9"/>
  <c r="D114" i="9" s="1"/>
  <c r="K32" i="9"/>
  <c r="K33" i="9" l="1"/>
  <c r="C115" i="9"/>
  <c r="D115" i="9" s="1"/>
  <c r="L32" i="9"/>
  <c r="M32" i="9" s="1"/>
  <c r="C116" i="9" l="1"/>
  <c r="D116" i="9" s="1"/>
  <c r="L33" i="9"/>
  <c r="M33" i="9" s="1"/>
  <c r="K34" i="9"/>
  <c r="K35" i="9" l="1"/>
  <c r="C117" i="9"/>
  <c r="D117" i="9" s="1"/>
  <c r="L34" i="9"/>
  <c r="M34" i="9" s="1"/>
  <c r="K36" i="9" l="1"/>
  <c r="C118" i="9"/>
  <c r="D118" i="9" s="1"/>
  <c r="L35" i="9"/>
  <c r="M35" i="9" s="1"/>
  <c r="K37" i="9" l="1"/>
  <c r="L36" i="9"/>
  <c r="M36" i="9" s="1"/>
  <c r="C119" i="9"/>
  <c r="D119" i="9" s="1"/>
  <c r="L37" i="9" l="1"/>
  <c r="S4" i="9" s="1"/>
  <c r="S7" i="9" s="1"/>
  <c r="C120" i="9"/>
  <c r="D120" i="9" s="1"/>
  <c r="M37" i="9" l="1"/>
  <c r="C121" i="9"/>
  <c r="D121" i="9" s="1"/>
  <c r="T7" i="9"/>
  <c r="U7" i="9" s="1"/>
  <c r="S8" i="9"/>
  <c r="C122" i="9" l="1"/>
  <c r="D122" i="9" s="1"/>
  <c r="T8" i="9"/>
  <c r="U8" i="9" s="1"/>
  <c r="S9" i="9"/>
  <c r="T9" i="9" l="1"/>
  <c r="U9" i="9" s="1"/>
  <c r="S10" i="9"/>
  <c r="C123" i="9"/>
  <c r="D123" i="9" s="1"/>
  <c r="C124" i="9" l="1"/>
  <c r="D124" i="9" s="1"/>
  <c r="T10" i="9"/>
  <c r="U10" i="9" s="1"/>
  <c r="S11" i="9"/>
  <c r="S12" i="9" l="1"/>
  <c r="T11" i="9"/>
  <c r="U11" i="9" s="1"/>
  <c r="C125" i="9"/>
  <c r="D125" i="9" s="1"/>
  <c r="C126" i="9" l="1"/>
  <c r="D126" i="9" s="1"/>
  <c r="S13" i="9"/>
  <c r="T12" i="9"/>
  <c r="U12" i="9" s="1"/>
  <c r="C127" i="9" l="1"/>
  <c r="D127" i="9" s="1"/>
  <c r="S14" i="9"/>
  <c r="T13" i="9"/>
  <c r="U13" i="9" s="1"/>
  <c r="S15" i="9" l="1"/>
  <c r="T14" i="9"/>
  <c r="U14" i="9" s="1"/>
  <c r="C128" i="9"/>
  <c r="D128" i="9" s="1"/>
  <c r="C129" i="9" l="1"/>
  <c r="D129" i="9" s="1"/>
  <c r="T15" i="9"/>
  <c r="U15" i="9" s="1"/>
  <c r="S16" i="9"/>
  <c r="S17" i="9" l="1"/>
  <c r="C130" i="9"/>
  <c r="D130" i="9" s="1"/>
  <c r="T16" i="9"/>
  <c r="U16" i="9" s="1"/>
  <c r="T17" i="9" l="1"/>
  <c r="U17" i="9" s="1"/>
  <c r="S18" i="9"/>
  <c r="C131" i="9"/>
  <c r="D131" i="9" s="1"/>
  <c r="C132" i="9" l="1"/>
  <c r="D132" i="9" s="1"/>
  <c r="S19" i="9"/>
  <c r="T18" i="9"/>
  <c r="U18" i="9" s="1"/>
  <c r="C133" i="9" l="1"/>
  <c r="D133" i="9" s="1"/>
  <c r="S20" i="9"/>
  <c r="T19" i="9"/>
  <c r="U19" i="9" s="1"/>
  <c r="T20" i="9" l="1"/>
  <c r="U20" i="9" s="1"/>
  <c r="C134" i="9"/>
  <c r="D134" i="9" s="1"/>
  <c r="S21" i="9"/>
  <c r="S22" i="9" l="1"/>
  <c r="T21" i="9"/>
  <c r="U21" i="9" s="1"/>
  <c r="C135" i="9"/>
  <c r="D135" i="9" s="1"/>
  <c r="T22" i="9" l="1"/>
  <c r="U22" i="9" s="1"/>
  <c r="C136" i="9"/>
  <c r="D136" i="9" s="1"/>
  <c r="S23" i="9"/>
  <c r="S24" i="9" l="1"/>
  <c r="C137" i="9"/>
  <c r="D137" i="9" s="1"/>
  <c r="T23" i="9"/>
  <c r="U23" i="9" s="1"/>
  <c r="S25" i="9" l="1"/>
  <c r="C138" i="9"/>
  <c r="D138" i="9" s="1"/>
  <c r="T24" i="9"/>
  <c r="U24" i="9" s="1"/>
  <c r="T25" i="9" l="1"/>
  <c r="U25" i="9" s="1"/>
  <c r="C139" i="9"/>
  <c r="D139" i="9" s="1"/>
  <c r="S26" i="9"/>
  <c r="C140" i="9" l="1"/>
  <c r="D140" i="9" s="1"/>
  <c r="T26" i="9"/>
  <c r="U26" i="9" s="1"/>
  <c r="S27" i="9"/>
  <c r="S28" i="9" l="1"/>
  <c r="T27" i="9"/>
  <c r="U27" i="9" s="1"/>
  <c r="C141" i="9"/>
  <c r="D141" i="9" s="1"/>
  <c r="S29" i="9" l="1"/>
  <c r="T28" i="9"/>
  <c r="U28" i="9" s="1"/>
  <c r="C142" i="9"/>
  <c r="D142" i="9" s="1"/>
  <c r="C143" i="9" l="1"/>
  <c r="D143" i="9" s="1"/>
  <c r="S30" i="9"/>
  <c r="T29" i="9"/>
  <c r="U29" i="9" s="1"/>
  <c r="T30" i="9" l="1"/>
  <c r="U30" i="9" s="1"/>
  <c r="S31" i="9"/>
  <c r="C144" i="9"/>
  <c r="D144" i="9" s="1"/>
  <c r="C145" i="9" l="1"/>
  <c r="D145" i="9" s="1"/>
  <c r="S32" i="9"/>
  <c r="T31" i="9"/>
  <c r="U31" i="9" s="1"/>
  <c r="C146" i="9" l="1"/>
  <c r="D146" i="9" s="1"/>
  <c r="T32" i="9"/>
  <c r="U32" i="9" s="1"/>
  <c r="S33" i="9"/>
  <c r="T33" i="9" l="1"/>
  <c r="U33" i="9" s="1"/>
  <c r="S34" i="9"/>
  <c r="C147" i="9"/>
  <c r="D147" i="9" s="1"/>
  <c r="S35" i="9" l="1"/>
  <c r="C148" i="9"/>
  <c r="D148" i="9" s="1"/>
  <c r="T34" i="9"/>
  <c r="U34" i="9" s="1"/>
  <c r="T35" i="9" l="1"/>
  <c r="U35" i="9" s="1"/>
  <c r="S36" i="9"/>
  <c r="C149" i="9"/>
  <c r="D149" i="9" s="1"/>
  <c r="T36" i="9" l="1"/>
  <c r="U36" i="9" s="1"/>
  <c r="S37" i="9"/>
  <c r="C150" i="9"/>
  <c r="D150" i="9" s="1"/>
  <c r="T37" i="9" l="1"/>
  <c r="U37" i="9" s="1"/>
  <c r="AA4" i="9"/>
  <c r="AA7" i="9" s="1"/>
  <c r="C151" i="9"/>
  <c r="D151" i="9" s="1"/>
  <c r="C152" i="9" l="1"/>
  <c r="D152" i="9" s="1"/>
  <c r="AA8" i="9"/>
  <c r="AB7" i="9"/>
  <c r="AC7" i="9" s="1"/>
  <c r="C153" i="9" l="1"/>
  <c r="D153" i="9" s="1"/>
  <c r="AB8" i="9"/>
  <c r="AC8" i="9" s="1"/>
  <c r="AA9" i="9"/>
  <c r="AB9" i="9" l="1"/>
  <c r="AC9" i="9" s="1"/>
  <c r="AA10" i="9"/>
  <c r="C154" i="9"/>
  <c r="D154" i="9" s="1"/>
  <c r="AA11" i="9" l="1"/>
  <c r="AB10" i="9"/>
  <c r="AC10" i="9" s="1"/>
  <c r="C155" i="9"/>
  <c r="D155" i="9" s="1"/>
  <c r="AA12" i="9" l="1"/>
  <c r="C156" i="9"/>
  <c r="D156" i="9" s="1"/>
  <c r="AB11" i="9"/>
  <c r="AC11" i="9" s="1"/>
  <c r="C157" i="9" l="1"/>
  <c r="D157" i="9" s="1"/>
  <c r="AA13" i="9"/>
  <c r="AB12" i="9"/>
  <c r="AC12" i="9" s="1"/>
  <c r="AA14" i="9" l="1"/>
  <c r="AB13" i="9"/>
  <c r="AC13" i="9" s="1"/>
  <c r="C158" i="9"/>
  <c r="D158" i="9" s="1"/>
  <c r="AA15" i="9" l="1"/>
  <c r="C159" i="9"/>
  <c r="D159" i="9" s="1"/>
  <c r="AB14" i="9"/>
  <c r="AC14" i="9" s="1"/>
  <c r="AA16" i="9" l="1"/>
  <c r="AB15" i="9"/>
  <c r="AC15" i="9" s="1"/>
  <c r="C160" i="9"/>
  <c r="D160" i="9" s="1"/>
  <c r="C161" i="9" l="1"/>
  <c r="D161" i="9" s="1"/>
  <c r="AB16" i="9"/>
  <c r="AC16" i="9" s="1"/>
  <c r="AA17" i="9"/>
  <c r="AA18" i="9" l="1"/>
  <c r="AB17" i="9"/>
  <c r="AC17" i="9" s="1"/>
  <c r="C162" i="9"/>
  <c r="D162" i="9" s="1"/>
  <c r="AA19" i="9" l="1"/>
  <c r="AB18" i="9"/>
  <c r="AC18" i="9" s="1"/>
  <c r="C163" i="9"/>
  <c r="D163" i="9" s="1"/>
  <c r="AB19" i="9" l="1"/>
  <c r="AC19" i="9" s="1"/>
  <c r="AA20" i="9"/>
  <c r="C164" i="9"/>
  <c r="D164" i="9" s="1"/>
  <c r="AB20" i="9" l="1"/>
  <c r="AC20" i="9" s="1"/>
  <c r="C165" i="9"/>
  <c r="D165" i="9" s="1"/>
  <c r="AA21" i="9"/>
  <c r="AB21" i="9" l="1"/>
  <c r="AC21" i="9" s="1"/>
  <c r="AA22" i="9"/>
  <c r="C166" i="9"/>
  <c r="D166" i="9" s="1"/>
  <c r="AB22" i="9" l="1"/>
  <c r="AC22" i="9" s="1"/>
  <c r="C167" i="9"/>
  <c r="D167" i="9" s="1"/>
  <c r="AA23" i="9"/>
  <c r="AA24" i="9" l="1"/>
  <c r="C168" i="9"/>
  <c r="D168" i="9" s="1"/>
  <c r="AB23" i="9"/>
  <c r="AC23" i="9" s="1"/>
  <c r="AA25" i="9" l="1"/>
  <c r="AB24" i="9"/>
  <c r="AC24" i="9" s="1"/>
  <c r="C169" i="9"/>
  <c r="D169" i="9" s="1"/>
  <c r="AA26" i="9" l="1"/>
  <c r="AB25" i="9"/>
  <c r="AC25" i="9" s="1"/>
  <c r="C170" i="9"/>
  <c r="D170" i="9" s="1"/>
  <c r="AA27" i="9" l="1"/>
  <c r="AB26" i="9"/>
  <c r="AC26" i="9" s="1"/>
  <c r="C171" i="9"/>
  <c r="D171" i="9" s="1"/>
  <c r="AA28" i="9" l="1"/>
  <c r="C172" i="9"/>
  <c r="D172" i="9" s="1"/>
  <c r="AB27" i="9"/>
  <c r="AC27" i="9" s="1"/>
  <c r="AB28" i="9" l="1"/>
  <c r="AC28" i="9" s="1"/>
  <c r="AA29" i="9"/>
  <c r="C173" i="9"/>
  <c r="D173" i="9" s="1"/>
  <c r="C174" i="9" l="1"/>
  <c r="D174" i="9" s="1"/>
  <c r="AA30" i="9"/>
  <c r="AB29" i="9"/>
  <c r="AC29" i="9" s="1"/>
  <c r="C175" i="9" l="1"/>
  <c r="D175" i="9" s="1"/>
  <c r="AA31" i="9"/>
  <c r="AB30" i="9"/>
  <c r="AC30" i="9" s="1"/>
  <c r="AA32" i="9" l="1"/>
  <c r="AB31" i="9"/>
  <c r="AC31" i="9" s="1"/>
  <c r="C176" i="9"/>
  <c r="D176" i="9" s="1"/>
  <c r="C177" i="9" l="1"/>
  <c r="D177" i="9" s="1"/>
  <c r="AB32" i="9"/>
  <c r="AC32" i="9" s="1"/>
  <c r="AA33" i="9"/>
  <c r="AB33" i="9" l="1"/>
  <c r="AC33" i="9" s="1"/>
  <c r="AA34" i="9"/>
  <c r="C178" i="9"/>
  <c r="D178" i="9" s="1"/>
  <c r="C179" i="9" l="1"/>
  <c r="D179" i="9" s="1"/>
  <c r="AB34" i="9"/>
  <c r="AC34" i="9" s="1"/>
  <c r="AA35" i="9"/>
  <c r="AB35" i="9" l="1"/>
  <c r="AC35" i="9" s="1"/>
  <c r="C180" i="9"/>
  <c r="D180" i="9" s="1"/>
  <c r="AA36" i="9"/>
  <c r="AB36" i="9" l="1"/>
  <c r="AC36" i="9" s="1"/>
  <c r="C181" i="9"/>
  <c r="D181" i="9" s="1"/>
  <c r="AA37" i="9"/>
  <c r="C182" i="9" l="1"/>
  <c r="D182" i="9" s="1"/>
  <c r="AB37" i="9"/>
  <c r="AI4" i="9" s="1"/>
  <c r="AI7" i="9" s="1"/>
  <c r="AC37" i="9" l="1"/>
  <c r="AJ7" i="9"/>
  <c r="AK7" i="9" s="1"/>
  <c r="C183" i="9"/>
  <c r="D183" i="9" s="1"/>
  <c r="AI8" i="9"/>
  <c r="C184" i="9" l="1"/>
  <c r="D184" i="9" s="1"/>
  <c r="AJ8" i="9"/>
  <c r="AK8" i="9" s="1"/>
  <c r="AI9" i="9"/>
  <c r="AJ9" i="9" l="1"/>
  <c r="AK9" i="9" s="1"/>
  <c r="AI10" i="9"/>
  <c r="C185" i="9"/>
  <c r="D185" i="9" s="1"/>
  <c r="AJ10" i="9" l="1"/>
  <c r="AK10" i="9" s="1"/>
  <c r="AI11" i="9"/>
  <c r="C186" i="9"/>
  <c r="D186" i="9" s="1"/>
  <c r="AJ11" i="9" l="1"/>
  <c r="AK11" i="9" s="1"/>
  <c r="AI12" i="9"/>
  <c r="C187" i="9"/>
  <c r="D187" i="9" s="1"/>
  <c r="AJ12" i="9" l="1"/>
  <c r="AK12" i="9" s="1"/>
  <c r="C188" i="9"/>
  <c r="D188" i="9" s="1"/>
  <c r="AI13" i="9"/>
  <c r="AJ13" i="9" l="1"/>
  <c r="AK13" i="9" s="1"/>
  <c r="AI14" i="9"/>
  <c r="C189" i="9"/>
  <c r="D189" i="9" s="1"/>
  <c r="AJ14" i="9" l="1"/>
  <c r="AK14" i="9" s="1"/>
  <c r="C190" i="9"/>
  <c r="D190" i="9" s="1"/>
  <c r="AI15" i="9"/>
  <c r="C191" i="9" l="1"/>
  <c r="D191" i="9" s="1"/>
  <c r="AJ15" i="9"/>
  <c r="AK15" i="9" s="1"/>
  <c r="AI16" i="9"/>
  <c r="AJ16" i="9" l="1"/>
  <c r="AK16" i="9" s="1"/>
  <c r="AI17" i="9"/>
  <c r="C192" i="9"/>
  <c r="D192" i="9" s="1"/>
  <c r="AJ17" i="9" l="1"/>
  <c r="AK17" i="9" s="1"/>
  <c r="C193" i="9"/>
  <c r="D193" i="9" s="1"/>
  <c r="AI18" i="9"/>
  <c r="AI19" i="9" l="1"/>
  <c r="C194" i="9"/>
  <c r="D194" i="9" s="1"/>
  <c r="AJ18" i="9"/>
  <c r="AK18" i="9" s="1"/>
  <c r="AI20" i="9" l="1"/>
  <c r="C195" i="9"/>
  <c r="D195" i="9" s="1"/>
  <c r="AJ19" i="9"/>
  <c r="AK19" i="9" s="1"/>
  <c r="C196" i="9" l="1"/>
  <c r="D196" i="9" s="1"/>
  <c r="AI21" i="9"/>
  <c r="AJ20" i="9"/>
  <c r="AK20" i="9" s="1"/>
  <c r="AI22" i="9" l="1"/>
  <c r="AJ21" i="9"/>
  <c r="AK21" i="9" s="1"/>
  <c r="C197" i="9"/>
  <c r="D197" i="9" s="1"/>
  <c r="C198" i="9" l="1"/>
  <c r="D198" i="9" s="1"/>
  <c r="AJ22" i="9"/>
  <c r="AK22" i="9" s="1"/>
  <c r="AI23" i="9"/>
  <c r="AJ23" i="9" l="1"/>
  <c r="AK23" i="9" s="1"/>
  <c r="AI24" i="9"/>
  <c r="C199" i="9"/>
  <c r="D199" i="9" s="1"/>
  <c r="AJ24" i="9" l="1"/>
  <c r="AK24" i="9" s="1"/>
  <c r="C200" i="9"/>
  <c r="D200" i="9" s="1"/>
  <c r="AI25" i="9"/>
  <c r="C201" i="9" l="1"/>
  <c r="D201" i="9" s="1"/>
  <c r="AI26" i="9"/>
  <c r="AJ25" i="9"/>
  <c r="AK25" i="9" s="1"/>
  <c r="AI27" i="9" l="1"/>
  <c r="C202" i="9"/>
  <c r="D202" i="9" s="1"/>
  <c r="AJ26" i="9"/>
  <c r="AK26" i="9" s="1"/>
  <c r="AI28" i="9" l="1"/>
  <c r="C203" i="9"/>
  <c r="D203" i="9" s="1"/>
  <c r="AJ27" i="9"/>
  <c r="AK27" i="9" s="1"/>
  <c r="AJ28" i="9" l="1"/>
  <c r="AK28" i="9" s="1"/>
  <c r="C204" i="9"/>
  <c r="D204" i="9" s="1"/>
  <c r="AI29" i="9"/>
  <c r="AJ29" i="9" l="1"/>
  <c r="AK29" i="9" s="1"/>
  <c r="AI30" i="9"/>
  <c r="C205" i="9"/>
  <c r="D205" i="9" s="1"/>
  <c r="C206" i="9" l="1"/>
  <c r="D206" i="9" s="1"/>
  <c r="AJ30" i="9"/>
  <c r="AK30" i="9" s="1"/>
  <c r="AI31" i="9"/>
  <c r="AJ31" i="9" l="1"/>
  <c r="AK31" i="9" s="1"/>
  <c r="AI32" i="9"/>
  <c r="C207" i="9"/>
  <c r="D207" i="9" s="1"/>
  <c r="C208" i="9" l="1"/>
  <c r="D208" i="9" s="1"/>
  <c r="AJ32" i="9"/>
  <c r="AK32" i="9" s="1"/>
  <c r="AI33" i="9"/>
  <c r="AI34" i="9" l="1"/>
  <c r="AJ33" i="9"/>
  <c r="AK33" i="9" s="1"/>
  <c r="C209" i="9"/>
  <c r="D209" i="9" s="1"/>
  <c r="AI35" i="9" l="1"/>
  <c r="C210" i="9"/>
  <c r="D210" i="9" s="1"/>
  <c r="AJ34" i="9"/>
  <c r="AK34" i="9" s="1"/>
  <c r="AI36" i="9" l="1"/>
  <c r="C211" i="9"/>
  <c r="D211" i="9" s="1"/>
  <c r="AJ35" i="9"/>
  <c r="AK35" i="9" s="1"/>
  <c r="AI37" i="9" l="1"/>
  <c r="C212" i="9"/>
  <c r="D212" i="9" s="1"/>
  <c r="AJ36" i="9"/>
  <c r="AK36" i="9" s="1"/>
  <c r="C213" i="9" l="1"/>
  <c r="D213" i="9" s="1"/>
  <c r="AJ37" i="9"/>
  <c r="AK37" i="9" s="1"/>
  <c r="AQ4" i="9" l="1"/>
  <c r="AQ7" i="9" s="1"/>
  <c r="AQ8" i="9" s="1"/>
  <c r="AR7" i="9" l="1"/>
  <c r="AS7" i="9" s="1"/>
  <c r="C214" i="9"/>
  <c r="D214" i="9" s="1"/>
  <c r="AQ9" i="9"/>
  <c r="C215" i="9"/>
  <c r="D215" i="9" s="1"/>
  <c r="AR8" i="9" l="1"/>
  <c r="AS8" i="9" s="1"/>
  <c r="C216" i="9"/>
  <c r="D216" i="9" s="1"/>
  <c r="AQ10" i="9"/>
  <c r="AR9" i="9" l="1"/>
  <c r="AS9" i="9" s="1"/>
  <c r="C217" i="9"/>
  <c r="D217" i="9" s="1"/>
  <c r="AQ11" i="9"/>
  <c r="AR10" i="9" l="1"/>
  <c r="AS10" i="9" s="1"/>
  <c r="C218" i="9"/>
  <c r="D218" i="9" s="1"/>
  <c r="AQ12" i="9"/>
  <c r="AR11" i="9" l="1"/>
  <c r="AS11" i="9" s="1"/>
  <c r="C219" i="9"/>
  <c r="D219" i="9" s="1"/>
  <c r="AQ13" i="9"/>
  <c r="AR12" i="9"/>
  <c r="AS12" i="9" s="1"/>
  <c r="C220" i="9" l="1"/>
  <c r="D220" i="9" s="1"/>
  <c r="AQ14" i="9"/>
  <c r="AR13" i="9"/>
  <c r="AS13" i="9" s="1"/>
  <c r="AQ15" i="9" l="1"/>
  <c r="C221" i="9"/>
  <c r="D221" i="9" s="1"/>
  <c r="AR14" i="9"/>
  <c r="AS14" i="9" s="1"/>
  <c r="AQ16" i="9" l="1"/>
  <c r="C222" i="9"/>
  <c r="D222" i="9" s="1"/>
  <c r="AR15" i="9"/>
  <c r="AS15" i="9" s="1"/>
  <c r="C223" i="9" l="1"/>
  <c r="D223" i="9" s="1"/>
  <c r="AQ17" i="9"/>
  <c r="AR16" i="9"/>
  <c r="AS16" i="9" s="1"/>
  <c r="AR17" i="9" l="1"/>
  <c r="AS17" i="9" s="1"/>
  <c r="AQ18" i="9"/>
  <c r="C224" i="9"/>
  <c r="D224" i="9" s="1"/>
  <c r="C225" i="9" l="1"/>
  <c r="D225" i="9" s="1"/>
  <c r="AR18" i="9"/>
  <c r="AS18" i="9" s="1"/>
  <c r="AQ19" i="9"/>
  <c r="AR19" i="9" l="1"/>
  <c r="AS19" i="9" s="1"/>
  <c r="AQ20" i="9"/>
  <c r="C226" i="9"/>
  <c r="D226" i="9" s="1"/>
  <c r="C227" i="9" l="1"/>
  <c r="D227" i="9" s="1"/>
  <c r="AR20" i="9"/>
  <c r="AS20" i="9" s="1"/>
  <c r="AQ21" i="9"/>
  <c r="AQ22" i="9" l="1"/>
  <c r="AR21" i="9"/>
  <c r="AS21" i="9" s="1"/>
  <c r="C228" i="9"/>
  <c r="D228" i="9" s="1"/>
  <c r="C229" i="9" l="1"/>
  <c r="D229" i="9" s="1"/>
  <c r="AQ23" i="9"/>
  <c r="AR22" i="9"/>
  <c r="AS22" i="9" s="1"/>
  <c r="AQ24" i="9" l="1"/>
  <c r="AR23" i="9"/>
  <c r="AS23" i="9" s="1"/>
  <c r="C230" i="9"/>
  <c r="D230" i="9" s="1"/>
  <c r="AQ25" i="9" l="1"/>
  <c r="C231" i="9"/>
  <c r="D231" i="9" s="1"/>
  <c r="AR24" i="9"/>
  <c r="AS24" i="9" s="1"/>
  <c r="AQ26" i="9" l="1"/>
  <c r="C232" i="9"/>
  <c r="D232" i="9" s="1"/>
  <c r="AR25" i="9"/>
  <c r="AS25" i="9" s="1"/>
  <c r="AR26" i="9" l="1"/>
  <c r="AQ27" i="9"/>
  <c r="C233" i="9"/>
  <c r="D233" i="9" s="1"/>
  <c r="AS26" i="9"/>
  <c r="C234" i="9" l="1"/>
  <c r="D234" i="9" s="1"/>
  <c r="AQ28" i="9"/>
  <c r="AR27" i="9"/>
  <c r="AS27" i="9" s="1"/>
  <c r="AR28" i="9" l="1"/>
  <c r="AS28" i="9" s="1"/>
  <c r="AQ29" i="9"/>
  <c r="C235" i="9"/>
  <c r="D235" i="9" s="1"/>
  <c r="C236" i="9" l="1"/>
  <c r="D236" i="9" s="1"/>
  <c r="AQ30" i="9"/>
  <c r="AR29" i="9"/>
  <c r="AS29" i="9" s="1"/>
  <c r="AR30" i="9" l="1"/>
  <c r="AS30" i="9" s="1"/>
  <c r="AQ31" i="9"/>
  <c r="C237" i="9"/>
  <c r="D237" i="9" s="1"/>
  <c r="AQ32" i="9" l="1"/>
  <c r="C238" i="9"/>
  <c r="D238" i="9" s="1"/>
  <c r="AR31" i="9"/>
  <c r="AS31" i="9" s="1"/>
  <c r="C239" i="9" l="1"/>
  <c r="D239" i="9" s="1"/>
  <c r="AQ33" i="9"/>
  <c r="AR32" i="9"/>
  <c r="AS32" i="9" s="1"/>
  <c r="AQ34" i="9" l="1"/>
  <c r="C240" i="9"/>
  <c r="D240" i="9" s="1"/>
  <c r="AR33" i="9"/>
  <c r="AS33" i="9" s="1"/>
  <c r="AQ35" i="9" l="1"/>
  <c r="C241" i="9"/>
  <c r="D241" i="9" s="1"/>
  <c r="AR34" i="9"/>
  <c r="AS34" i="9" s="1"/>
  <c r="AQ36" i="9" l="1"/>
  <c r="C242" i="9"/>
  <c r="D242" i="9" s="1"/>
  <c r="AR35" i="9"/>
  <c r="AS35" i="9" s="1"/>
  <c r="C243" i="9" l="1"/>
  <c r="D243" i="9" s="1"/>
  <c r="AQ37" i="9"/>
  <c r="AR36" i="9"/>
  <c r="AS36" i="9" s="1"/>
  <c r="C244" i="9" l="1"/>
  <c r="D244" i="9" s="1"/>
  <c r="AR37" i="9"/>
  <c r="AY4" i="9" s="1"/>
  <c r="AY7" i="9" s="1"/>
  <c r="AS37" i="9" l="1"/>
  <c r="C245" i="9"/>
  <c r="AY8" i="9"/>
  <c r="AZ7" i="9"/>
  <c r="BA7" i="9" l="1"/>
  <c r="D245" i="9" s="1"/>
  <c r="AZ8" i="9"/>
  <c r="AY9" i="9"/>
  <c r="C246" i="9"/>
  <c r="D246" i="9" s="1"/>
  <c r="C247" i="9" l="1"/>
  <c r="D247" i="9" s="1"/>
  <c r="AY10" i="9"/>
  <c r="AZ9" i="9"/>
  <c r="BA8" i="9"/>
  <c r="AY11" i="9" l="1"/>
  <c r="C248" i="9"/>
  <c r="D248" i="9" s="1"/>
  <c r="AZ10" i="9"/>
  <c r="BA10" i="9" s="1"/>
  <c r="BA9" i="9"/>
  <c r="AY12" i="9" l="1"/>
  <c r="C249" i="9"/>
  <c r="D249" i="9" s="1"/>
  <c r="AZ11" i="9"/>
  <c r="BA11" i="9" s="1"/>
  <c r="C250" i="9" l="1"/>
  <c r="D250" i="9" s="1"/>
  <c r="AY13" i="9"/>
  <c r="AZ12" i="9"/>
  <c r="BA12" i="9" s="1"/>
  <c r="AY14" i="9" l="1"/>
  <c r="C251" i="9"/>
  <c r="D251" i="9" s="1"/>
  <c r="AZ13" i="9"/>
  <c r="BA13" i="9" s="1"/>
  <c r="AZ14" i="9" l="1"/>
  <c r="BA14" i="9" s="1"/>
  <c r="C252" i="9"/>
  <c r="D252" i="9" s="1"/>
  <c r="AY15" i="9"/>
  <c r="C253" i="9" l="1"/>
  <c r="D253" i="9" s="1"/>
  <c r="AY16" i="9"/>
  <c r="AZ15" i="9"/>
  <c r="BA15" i="9" s="1"/>
  <c r="C254" i="9" l="1"/>
  <c r="D254" i="9" s="1"/>
  <c r="AZ16" i="9"/>
  <c r="BA16" i="9" s="1"/>
  <c r="AY17" i="9"/>
  <c r="C255" i="9" l="1"/>
  <c r="D255" i="9" s="1"/>
  <c r="AZ17" i="9"/>
  <c r="BA17" i="9" s="1"/>
  <c r="AY18" i="9"/>
  <c r="C256" i="9" l="1"/>
  <c r="D256" i="9" s="1"/>
  <c r="AY19" i="9"/>
  <c r="AZ18" i="9"/>
  <c r="BA18" i="9" s="1"/>
  <c r="AY20" i="9" l="1"/>
  <c r="C257" i="9"/>
  <c r="D257" i="9" s="1"/>
  <c r="AZ19" i="9"/>
  <c r="BA19" i="9" s="1"/>
  <c r="C258" i="9" l="1"/>
  <c r="D258" i="9" s="1"/>
  <c r="AZ20" i="9"/>
  <c r="BA20" i="9" s="1"/>
  <c r="AY21" i="9"/>
  <c r="AY22" i="9" l="1"/>
  <c r="C259" i="9"/>
  <c r="D259" i="9" s="1"/>
  <c r="AZ21" i="9"/>
  <c r="BA21" i="9" s="1"/>
  <c r="C260" i="9" l="1"/>
  <c r="D260" i="9" s="1"/>
  <c r="AY23" i="9"/>
  <c r="AZ22" i="9"/>
  <c r="BA22" i="9" s="1"/>
  <c r="AZ23" i="9" l="1"/>
  <c r="BA23" i="9" s="1"/>
  <c r="AY24" i="9"/>
  <c r="C261" i="9"/>
  <c r="D261" i="9" s="1"/>
  <c r="AZ24" i="9" l="1"/>
  <c r="BA24" i="9" s="1"/>
  <c r="C262" i="9"/>
  <c r="D262" i="9" s="1"/>
  <c r="AY25" i="9"/>
  <c r="AZ25" i="9" l="1"/>
  <c r="BA25" i="9" s="1"/>
  <c r="AY26" i="9"/>
  <c r="C263" i="9"/>
  <c r="D263" i="9" s="1"/>
  <c r="AZ26" i="9" l="1"/>
  <c r="BA26" i="9" s="1"/>
  <c r="AY27" i="9"/>
  <c r="C264" i="9"/>
  <c r="D264" i="9" s="1"/>
  <c r="AY28" i="9" l="1"/>
  <c r="AZ27" i="9"/>
  <c r="BA27" i="9" s="1"/>
  <c r="C265" i="9"/>
  <c r="D265" i="9" s="1"/>
  <c r="AY29" i="9" l="1"/>
  <c r="AZ28" i="9"/>
  <c r="BA28" i="9" s="1"/>
  <c r="C266" i="9"/>
  <c r="D266" i="9" s="1"/>
  <c r="AY30" i="9" l="1"/>
  <c r="AZ29" i="9"/>
  <c r="BA29" i="9" s="1"/>
  <c r="C267" i="9"/>
  <c r="D267" i="9" s="1"/>
  <c r="C268" i="9" l="1"/>
  <c r="D268" i="9" s="1"/>
  <c r="AY31" i="9"/>
  <c r="AZ30" i="9"/>
  <c r="BA30" i="9" s="1"/>
  <c r="C269" i="9" l="1"/>
  <c r="D269" i="9" s="1"/>
  <c r="AY32" i="9"/>
  <c r="AZ31" i="9"/>
  <c r="BA31" i="9" s="1"/>
  <c r="C270" i="9" l="1"/>
  <c r="D270" i="9" s="1"/>
  <c r="AZ32" i="9"/>
  <c r="BA32" i="9" s="1"/>
  <c r="AY33" i="9"/>
  <c r="C271" i="9" l="1"/>
  <c r="D271" i="9" s="1"/>
  <c r="AY34" i="9"/>
  <c r="AZ33" i="9"/>
  <c r="BA33" i="9" s="1"/>
  <c r="AZ34" i="9" l="1"/>
  <c r="BA34" i="9" s="1"/>
  <c r="C272" i="9"/>
  <c r="D272" i="9" s="1"/>
  <c r="AY35" i="9"/>
  <c r="AZ35" i="9" l="1"/>
  <c r="BA35" i="9" s="1"/>
  <c r="C273" i="9"/>
  <c r="D273" i="9" s="1"/>
  <c r="AY36" i="9"/>
  <c r="AY37" i="9" l="1"/>
  <c r="C274" i="9"/>
  <c r="D274" i="9" s="1"/>
  <c r="AZ36" i="9"/>
  <c r="BA36" i="9" s="1"/>
  <c r="C275" i="9" l="1"/>
  <c r="D275" i="9" s="1"/>
  <c r="AZ37" i="9"/>
  <c r="BG4" i="9" l="1"/>
  <c r="BG7" i="9" s="1"/>
  <c r="C276" i="9" s="1"/>
  <c r="D276" i="9" s="1"/>
  <c r="BA37" i="9"/>
  <c r="BH7" i="9" l="1"/>
  <c r="BI7" i="9" s="1"/>
  <c r="BG8" i="9"/>
  <c r="BG9" i="9" s="1"/>
  <c r="C277" i="9" l="1"/>
  <c r="D277" i="9" s="1"/>
  <c r="BH8" i="9"/>
  <c r="BI8" i="9" s="1"/>
  <c r="C278" i="9"/>
  <c r="D278" i="9" s="1"/>
  <c r="BG10" i="9"/>
  <c r="BH9" i="9" l="1"/>
  <c r="BH10" i="9" s="1"/>
  <c r="BI10" i="9" s="1"/>
  <c r="C279" i="9"/>
  <c r="D279" i="9" s="1"/>
  <c r="BG11" i="9"/>
  <c r="BI9" i="9" l="1"/>
  <c r="BH11" i="9"/>
  <c r="BI11" i="9" s="1"/>
  <c r="C280" i="9"/>
  <c r="D280" i="9" s="1"/>
  <c r="BG12" i="9"/>
  <c r="C281" i="9" l="1"/>
  <c r="D281" i="9" s="1"/>
  <c r="BH12" i="9"/>
  <c r="BI12" i="9" s="1"/>
  <c r="BG13" i="9"/>
  <c r="BG14" i="9" l="1"/>
  <c r="C282" i="9"/>
  <c r="D282" i="9" s="1"/>
  <c r="BH13" i="9"/>
  <c r="BI13" i="9" s="1"/>
  <c r="BG15" i="9" l="1"/>
  <c r="BH14" i="9"/>
  <c r="BI14" i="9" s="1"/>
  <c r="C283" i="9"/>
  <c r="D283" i="9" s="1"/>
  <c r="C284" i="9" l="1"/>
  <c r="D284" i="9" s="1"/>
  <c r="BG16" i="9"/>
  <c r="BH15" i="9"/>
  <c r="BI15" i="9" s="1"/>
  <c r="BG17" i="9" l="1"/>
  <c r="C285" i="9"/>
  <c r="D285" i="9" s="1"/>
  <c r="BH16" i="9"/>
  <c r="BI16" i="9" s="1"/>
  <c r="BG18" i="9" l="1"/>
  <c r="C286" i="9"/>
  <c r="D286" i="9" s="1"/>
  <c r="BH17" i="9"/>
  <c r="BI17" i="9" s="1"/>
  <c r="BH18" i="9" l="1"/>
  <c r="BI18" i="9" s="1"/>
  <c r="C287" i="9"/>
  <c r="D287" i="9" s="1"/>
  <c r="BG19" i="9"/>
  <c r="BH19" i="9" l="1"/>
  <c r="BI19" i="9" s="1"/>
  <c r="C288" i="9"/>
  <c r="D288" i="9" s="1"/>
  <c r="BG20" i="9"/>
  <c r="BG21" i="9" l="1"/>
  <c r="C289" i="9"/>
  <c r="D289" i="9" s="1"/>
  <c r="BH20" i="9"/>
  <c r="BI20" i="9" s="1"/>
  <c r="C290" i="9" l="1"/>
  <c r="D290" i="9" s="1"/>
  <c r="BH21" i="9"/>
  <c r="BI21" i="9" s="1"/>
  <c r="BG22" i="9"/>
  <c r="BG23" i="9" l="1"/>
  <c r="BH22" i="9"/>
  <c r="BI22" i="9" s="1"/>
  <c r="C291" i="9"/>
  <c r="D291" i="9" s="1"/>
  <c r="BH23" i="9" l="1"/>
  <c r="BI23" i="9" s="1"/>
  <c r="BG24" i="9"/>
  <c r="C292" i="9"/>
  <c r="D292" i="9" s="1"/>
  <c r="BH24" i="9" l="1"/>
  <c r="BI24" i="9" s="1"/>
  <c r="C293" i="9"/>
  <c r="D293" i="9" s="1"/>
  <c r="BG25" i="9"/>
  <c r="C294" i="9" l="1"/>
  <c r="D294" i="9" s="1"/>
  <c r="BG26" i="9"/>
  <c r="BH25" i="9"/>
  <c r="BI25" i="9" s="1"/>
  <c r="C295" i="9" l="1"/>
  <c r="D295" i="9" s="1"/>
  <c r="BH26" i="9"/>
  <c r="BI26" i="9" s="1"/>
  <c r="BG27" i="9"/>
  <c r="BH27" i="9" l="1"/>
  <c r="BI27" i="9" s="1"/>
  <c r="C296" i="9"/>
  <c r="D296" i="9" s="1"/>
  <c r="BG28" i="9"/>
  <c r="BG29" i="9" l="1"/>
  <c r="BH28" i="9"/>
  <c r="BI28" i="9" s="1"/>
  <c r="C297" i="9"/>
  <c r="D297" i="9" s="1"/>
  <c r="C298" i="9" l="1"/>
  <c r="D298" i="9" s="1"/>
  <c r="BG30" i="9"/>
  <c r="BH29" i="9"/>
  <c r="BI29" i="9" s="1"/>
  <c r="BG31" i="9" l="1"/>
  <c r="BH30" i="9"/>
  <c r="BI30" i="9" s="1"/>
  <c r="C299" i="9"/>
  <c r="D299" i="9" s="1"/>
  <c r="C300" i="9" l="1"/>
  <c r="D300" i="9" s="1"/>
  <c r="BG32" i="9"/>
  <c r="BH31" i="9"/>
  <c r="BI31" i="9" s="1"/>
  <c r="BG33" i="9" l="1"/>
  <c r="BH32" i="9"/>
  <c r="BI32" i="9" s="1"/>
  <c r="C301" i="9"/>
  <c r="D301" i="9" s="1"/>
  <c r="BG34" i="9" l="1"/>
  <c r="C302" i="9"/>
  <c r="D302" i="9" s="1"/>
  <c r="BH33" i="9"/>
  <c r="BI33" i="9" s="1"/>
  <c r="BG35" i="9" l="1"/>
  <c r="C303" i="9"/>
  <c r="D303" i="9" s="1"/>
  <c r="BH34" i="9"/>
  <c r="BI34" i="9" s="1"/>
  <c r="BH35" i="9" l="1"/>
  <c r="BI35" i="9" s="1"/>
  <c r="C304" i="9"/>
  <c r="D304" i="9" s="1"/>
  <c r="BG36" i="9"/>
  <c r="BH36" i="9" l="1"/>
  <c r="BI36" i="9" s="1"/>
  <c r="C305" i="9"/>
  <c r="D305" i="9" s="1"/>
  <c r="BG37" i="9"/>
  <c r="BH37" i="9" l="1"/>
  <c r="BO4" i="9" s="1"/>
  <c r="BO7" i="9" s="1"/>
  <c r="C306" i="9"/>
  <c r="D306" i="9" s="1"/>
  <c r="BI37" i="9" l="1"/>
  <c r="BO8" i="9"/>
  <c r="C307" i="9"/>
  <c r="D307" i="9" s="1"/>
  <c r="BP7" i="9"/>
  <c r="C308" i="9" l="1"/>
  <c r="D308" i="9" s="1"/>
  <c r="BO9" i="9"/>
  <c r="BP8" i="9"/>
  <c r="BQ7" i="9"/>
  <c r="C309" i="9" l="1"/>
  <c r="D309" i="9" s="1"/>
  <c r="BP9" i="9"/>
  <c r="BO10" i="9"/>
  <c r="BQ8" i="9"/>
  <c r="BP10" i="9" l="1"/>
  <c r="BQ10" i="9" s="1"/>
  <c r="C310" i="9"/>
  <c r="D310" i="9" s="1"/>
  <c r="BO11" i="9"/>
  <c r="BQ9" i="9"/>
  <c r="C311" i="9" l="1"/>
  <c r="D311" i="9" s="1"/>
  <c r="BP11" i="9"/>
  <c r="BQ11" i="9" s="1"/>
  <c r="BO12" i="9"/>
  <c r="BO13" i="9" l="1"/>
  <c r="BP12" i="9"/>
  <c r="BQ12" i="9" s="1"/>
  <c r="C312" i="9"/>
  <c r="D312" i="9" s="1"/>
  <c r="C313" i="9" l="1"/>
  <c r="D313" i="9" s="1"/>
  <c r="BO14" i="9"/>
  <c r="BP13" i="9"/>
  <c r="BQ13" i="9" s="1"/>
  <c r="C314" i="9" l="1"/>
  <c r="D314" i="9" s="1"/>
  <c r="BP14" i="9"/>
  <c r="BQ14" i="9" s="1"/>
  <c r="BO15" i="9"/>
  <c r="BO16" i="9" l="1"/>
  <c r="C315" i="9"/>
  <c r="D315" i="9" s="1"/>
  <c r="BP15" i="9"/>
  <c r="BQ15" i="9" s="1"/>
  <c r="C316" i="9" l="1"/>
  <c r="D316" i="9" s="1"/>
  <c r="BP16" i="9"/>
  <c r="BQ16" i="9" s="1"/>
  <c r="BO17" i="9"/>
  <c r="C317" i="9" l="1"/>
  <c r="D317" i="9" s="1"/>
  <c r="BO18" i="9"/>
  <c r="BP17" i="9"/>
  <c r="BQ17" i="9" s="1"/>
  <c r="BP18" i="9" l="1"/>
  <c r="BQ18" i="9" s="1"/>
  <c r="BO19" i="9"/>
  <c r="C318" i="9"/>
  <c r="D318" i="9" s="1"/>
  <c r="BO20" i="9" l="1"/>
  <c r="C319" i="9"/>
  <c r="D319" i="9" s="1"/>
  <c r="BP19" i="9"/>
  <c r="BQ19" i="9" s="1"/>
  <c r="C320" i="9" l="1"/>
  <c r="D320" i="9" s="1"/>
  <c r="BP20" i="9"/>
  <c r="BQ20" i="9" s="1"/>
  <c r="BO21" i="9"/>
  <c r="C321" i="9" l="1"/>
  <c r="D321" i="9" s="1"/>
  <c r="BO22" i="9"/>
  <c r="BP21" i="9"/>
  <c r="BQ21" i="9" s="1"/>
  <c r="BP22" i="9" l="1"/>
  <c r="BQ22" i="9" s="1"/>
  <c r="C322" i="9"/>
  <c r="D322" i="9" s="1"/>
  <c r="BO23" i="9"/>
  <c r="BO24" i="9" l="1"/>
  <c r="BP23" i="9"/>
  <c r="BQ23" i="9" s="1"/>
  <c r="C323" i="9"/>
  <c r="D323" i="9" s="1"/>
  <c r="BP24" i="9" l="1"/>
  <c r="BQ24" i="9" s="1"/>
  <c r="BO25" i="9"/>
  <c r="C324" i="9"/>
  <c r="D324" i="9" s="1"/>
  <c r="C325" i="9" l="1"/>
  <c r="D325" i="9" s="1"/>
  <c r="BO26" i="9"/>
  <c r="BP25" i="9"/>
  <c r="BQ25" i="9" s="1"/>
  <c r="C326" i="9" l="1"/>
  <c r="D326" i="9" s="1"/>
  <c r="BP26" i="9"/>
  <c r="BQ26" i="9" s="1"/>
  <c r="BO27" i="9"/>
  <c r="BP27" i="9" l="1"/>
  <c r="BQ27" i="9" s="1"/>
  <c r="C327" i="9"/>
  <c r="D327" i="9" s="1"/>
  <c r="BO28" i="9"/>
  <c r="BP28" i="9" l="1"/>
  <c r="BQ28" i="9" s="1"/>
  <c r="C328" i="9"/>
  <c r="D328" i="9" s="1"/>
  <c r="BO29" i="9"/>
  <c r="C329" i="9" l="1"/>
  <c r="D329" i="9" s="1"/>
  <c r="BO30" i="9"/>
  <c r="BP29" i="9"/>
  <c r="BQ29" i="9" s="1"/>
  <c r="BO31" i="9" l="1"/>
  <c r="C330" i="9"/>
  <c r="D330" i="9" s="1"/>
  <c r="BP30" i="9"/>
  <c r="BQ30" i="9" s="1"/>
  <c r="BO32" i="9" l="1"/>
  <c r="C331" i="9"/>
  <c r="D331" i="9" s="1"/>
  <c r="BP31" i="9"/>
  <c r="BQ31" i="9" s="1"/>
  <c r="BP32" i="9" l="1"/>
  <c r="BQ32" i="9" s="1"/>
  <c r="BO33" i="9"/>
  <c r="C332" i="9"/>
  <c r="D332" i="9" s="1"/>
  <c r="C333" i="9" l="1"/>
  <c r="D333" i="9" s="1"/>
  <c r="BP33" i="9"/>
  <c r="BQ33" i="9" s="1"/>
  <c r="BO34" i="9"/>
  <c r="C334" i="9" l="1"/>
  <c r="D334" i="9" s="1"/>
  <c r="BO35" i="9"/>
  <c r="BP34" i="9"/>
  <c r="BQ34" i="9" s="1"/>
  <c r="BO36" i="9" l="1"/>
  <c r="BP35" i="9"/>
  <c r="BQ35" i="9" s="1"/>
  <c r="C335" i="9"/>
  <c r="D335" i="9" s="1"/>
  <c r="BO37" i="9" l="1"/>
  <c r="BW4" i="9" s="1"/>
  <c r="C336" i="9"/>
  <c r="D336" i="9" s="1"/>
  <c r="BP36" i="9"/>
  <c r="BQ36" i="9" s="1"/>
  <c r="C337" i="9" l="1"/>
  <c r="D337" i="9" s="1"/>
  <c r="BP37" i="9"/>
  <c r="BQ37" i="9" l="1"/>
  <c r="BW7" i="9"/>
  <c r="C338" i="9" l="1"/>
  <c r="D338" i="9" s="1"/>
  <c r="BW8" i="9"/>
  <c r="BX7" i="9"/>
  <c r="BW9" i="9" l="1"/>
  <c r="BX8" i="9"/>
  <c r="C339" i="9"/>
  <c r="D339" i="9" s="1"/>
  <c r="BY7" i="9"/>
  <c r="BY8" i="9" l="1"/>
  <c r="C340" i="9"/>
  <c r="D340" i="9" s="1"/>
  <c r="BW10" i="9"/>
  <c r="BX9" i="9"/>
  <c r="BX10" i="9" l="1"/>
  <c r="BY10" i="9" s="1"/>
  <c r="BW11" i="9"/>
  <c r="C341" i="9"/>
  <c r="D341" i="9" s="1"/>
  <c r="BY9" i="9"/>
  <c r="BW12" i="9" l="1"/>
  <c r="BX11" i="9"/>
  <c r="BY11" i="9" s="1"/>
  <c r="C342" i="9"/>
  <c r="D342" i="9" s="1"/>
  <c r="C343" i="9" l="1"/>
  <c r="D343" i="9" s="1"/>
  <c r="BW13" i="9"/>
  <c r="BX12" i="9"/>
  <c r="BY12" i="9" s="1"/>
  <c r="BX13" i="9" l="1"/>
  <c r="BY13" i="9" s="1"/>
  <c r="BW14" i="9"/>
  <c r="C344" i="9"/>
  <c r="D344" i="9" s="1"/>
  <c r="BW15" i="9" l="1"/>
  <c r="C345" i="9"/>
  <c r="D345" i="9" s="1"/>
  <c r="BX14" i="9"/>
  <c r="BY14" i="9" s="1"/>
  <c r="BW16" i="9" l="1"/>
  <c r="C346" i="9"/>
  <c r="D346" i="9" s="1"/>
  <c r="BX15" i="9"/>
  <c r="BY15" i="9" s="1"/>
  <c r="BX16" i="9" l="1"/>
  <c r="BY16" i="9" s="1"/>
  <c r="C347" i="9"/>
  <c r="D347" i="9" s="1"/>
  <c r="BW17" i="9"/>
  <c r="BW18" i="9" l="1"/>
  <c r="C348" i="9"/>
  <c r="D348" i="9" s="1"/>
  <c r="BX17" i="9"/>
  <c r="BY17" i="9" s="1"/>
  <c r="BW19" i="9" l="1"/>
  <c r="BX18" i="9"/>
  <c r="BY18" i="9" s="1"/>
  <c r="C349" i="9"/>
  <c r="D349" i="9" s="1"/>
  <c r="BW20" i="9" l="1"/>
  <c r="C350" i="9"/>
  <c r="D350" i="9" s="1"/>
  <c r="BX19" i="9"/>
  <c r="BY19" i="9" s="1"/>
  <c r="C351" i="9" l="1"/>
  <c r="D351" i="9" s="1"/>
  <c r="BW21" i="9"/>
  <c r="BX20" i="9"/>
  <c r="BY20" i="9" s="1"/>
  <c r="BX21" i="9" l="1"/>
  <c r="BY21" i="9" s="1"/>
  <c r="C352" i="9"/>
  <c r="D352" i="9" s="1"/>
  <c r="BW22" i="9"/>
  <c r="BW23" i="9" l="1"/>
  <c r="C353" i="9"/>
  <c r="D353" i="9" s="1"/>
  <c r="BX22" i="9"/>
  <c r="BY22" i="9" s="1"/>
  <c r="BW24" i="9" l="1"/>
  <c r="C354" i="9"/>
  <c r="D354" i="9" s="1"/>
  <c r="BX23" i="9"/>
  <c r="BY23" i="9" s="1"/>
  <c r="BX24" i="9" l="1"/>
  <c r="BY24" i="9" s="1"/>
  <c r="BW25" i="9"/>
  <c r="C355" i="9"/>
  <c r="D355" i="9" s="1"/>
  <c r="BW26" i="9" l="1"/>
  <c r="C356" i="9"/>
  <c r="D356" i="9" s="1"/>
  <c r="BX25" i="9"/>
  <c r="BY25" i="9" s="1"/>
  <c r="C357" i="9" l="1"/>
  <c r="D357" i="9" s="1"/>
  <c r="BX26" i="9"/>
  <c r="BY26" i="9" s="1"/>
  <c r="BW27" i="9"/>
  <c r="C358" i="9" l="1"/>
  <c r="D358" i="9" s="1"/>
  <c r="BW28" i="9"/>
  <c r="BX27" i="9"/>
  <c r="BY27" i="9" s="1"/>
  <c r="C359" i="9" l="1"/>
  <c r="D359" i="9" s="1"/>
  <c r="BW29" i="9"/>
  <c r="BX28" i="9"/>
  <c r="BY28" i="9" s="1"/>
  <c r="BX29" i="9" l="1"/>
  <c r="BY29" i="9" s="1"/>
  <c r="BW30" i="9"/>
  <c r="C360" i="9"/>
  <c r="D360" i="9" s="1"/>
  <c r="BW31" i="9" l="1"/>
  <c r="C361" i="9"/>
  <c r="D361" i="9" s="1"/>
  <c r="BX30" i="9"/>
  <c r="BY30" i="9" s="1"/>
  <c r="C362" i="9" l="1"/>
  <c r="D362" i="9" s="1"/>
  <c r="BW32" i="9"/>
  <c r="BX31" i="9"/>
  <c r="BY31" i="9" s="1"/>
  <c r="BX32" i="9" l="1"/>
  <c r="BY32" i="9" s="1"/>
  <c r="BW33" i="9"/>
  <c r="C363" i="9"/>
  <c r="D363" i="9" s="1"/>
  <c r="C364" i="9" l="1"/>
  <c r="D364" i="9" s="1"/>
  <c r="BW34" i="9"/>
  <c r="BX33" i="9"/>
  <c r="BY33" i="9" s="1"/>
  <c r="C365" i="9" l="1"/>
  <c r="D365" i="9" s="1"/>
  <c r="BX34" i="9"/>
  <c r="BY34" i="9" s="1"/>
  <c r="BW35" i="9"/>
  <c r="BW36" i="9" l="1"/>
  <c r="C366" i="9"/>
  <c r="D366" i="9" s="1"/>
  <c r="BX35" i="9"/>
  <c r="BY35" i="9" s="1"/>
  <c r="BW37" i="9" l="1"/>
  <c r="C367" i="9"/>
  <c r="D367" i="9" s="1"/>
  <c r="BX36" i="9"/>
  <c r="BY36" i="9" s="1"/>
  <c r="BX37" i="9" l="1"/>
  <c r="CE4" i="9" s="1"/>
  <c r="C368" i="9"/>
  <c r="D368" i="9" s="1"/>
  <c r="CE7" i="9" l="1"/>
  <c r="C369" i="9" s="1"/>
  <c r="D369" i="9" s="1"/>
  <c r="BY37" i="9"/>
  <c r="CE8" i="9" l="1"/>
  <c r="CE9" i="9" s="1"/>
  <c r="CF7" i="9"/>
  <c r="CG7" i="9" s="1"/>
  <c r="CF8" i="9" l="1"/>
  <c r="CG8" i="9" s="1"/>
  <c r="C370" i="9"/>
  <c r="D370" i="9" s="1"/>
  <c r="CE10" i="9"/>
  <c r="C371" i="9"/>
  <c r="D371" i="9" s="1"/>
  <c r="CF9" i="9" l="1"/>
  <c r="CF10" i="9" s="1"/>
  <c r="CE11" i="9"/>
  <c r="C372" i="9"/>
  <c r="D372" i="9" s="1"/>
  <c r="CG9" i="9" l="1"/>
  <c r="CE12" i="9"/>
  <c r="CF11" i="9"/>
  <c r="CG11" i="9" s="1"/>
  <c r="C373" i="9"/>
  <c r="D373" i="9" s="1"/>
  <c r="CG10" i="9"/>
  <c r="CF12" i="9" l="1"/>
  <c r="CG12" i="9" s="1"/>
  <c r="CE13" i="9"/>
  <c r="C374" i="9"/>
  <c r="D374" i="9" s="1"/>
  <c r="C375" i="9" l="1"/>
  <c r="D375" i="9" s="1"/>
  <c r="CE14" i="9"/>
  <c r="CF13" i="9"/>
  <c r="CG13" i="9" s="1"/>
  <c r="C376" i="9" l="1"/>
  <c r="D376" i="9" s="1"/>
  <c r="CE15" i="9"/>
  <c r="CF14" i="9"/>
  <c r="CG14" i="9" s="1"/>
  <c r="CF15" i="9" l="1"/>
  <c r="CG15" i="9" s="1"/>
  <c r="C377" i="9"/>
  <c r="D377" i="9" s="1"/>
  <c r="CE16" i="9"/>
  <c r="CF16" i="9" l="1"/>
  <c r="CG16" i="9" s="1"/>
  <c r="CE17" i="9"/>
  <c r="C378" i="9"/>
  <c r="D378" i="9" s="1"/>
  <c r="CE18" i="9" l="1"/>
  <c r="CF17" i="9"/>
  <c r="CG17" i="9" s="1"/>
  <c r="C379" i="9"/>
  <c r="D379" i="9" s="1"/>
  <c r="CF18" i="9" l="1"/>
  <c r="CG18" i="9" s="1"/>
  <c r="CE19" i="9"/>
  <c r="C380" i="9"/>
  <c r="D380" i="9" s="1"/>
  <c r="C381" i="9" l="1"/>
  <c r="D381" i="9" s="1"/>
  <c r="CF19" i="9"/>
  <c r="CG19" i="9" s="1"/>
  <c r="CE20" i="9"/>
  <c r="CF20" i="9" l="1"/>
  <c r="CG20" i="9" s="1"/>
  <c r="CE21" i="9"/>
  <c r="C382" i="9"/>
  <c r="D382" i="9" s="1"/>
  <c r="CE22" i="9" l="1"/>
  <c r="C383" i="9"/>
  <c r="D383" i="9" s="1"/>
  <c r="CF21" i="9"/>
  <c r="CG21" i="9" s="1"/>
  <c r="C384" i="9" l="1"/>
  <c r="D384" i="9" s="1"/>
  <c r="CF22" i="9"/>
  <c r="CG22" i="9" s="1"/>
  <c r="CE23" i="9"/>
  <c r="C385" i="9" l="1"/>
  <c r="D385" i="9" s="1"/>
  <c r="CE24" i="9"/>
  <c r="CF23" i="9"/>
  <c r="CG23" i="9" s="1"/>
  <c r="CE25" i="9" l="1"/>
  <c r="CF24" i="9"/>
  <c r="CG24" i="9" s="1"/>
  <c r="C386" i="9"/>
  <c r="D386" i="9" s="1"/>
  <c r="C387" i="9" l="1"/>
  <c r="D387" i="9" s="1"/>
  <c r="CF25" i="9"/>
  <c r="CG25" i="9" s="1"/>
  <c r="CE26" i="9"/>
  <c r="CF26" i="9" l="1"/>
  <c r="CG26" i="9" s="1"/>
  <c r="C388" i="9"/>
  <c r="D388" i="9" s="1"/>
  <c r="CE27" i="9"/>
  <c r="CF27" i="9" l="1"/>
  <c r="CG27" i="9" s="1"/>
  <c r="C389" i="9"/>
  <c r="D389" i="9" s="1"/>
  <c r="CE28" i="9"/>
  <c r="CE29" i="9" l="1"/>
  <c r="C390" i="9"/>
  <c r="D390" i="9" s="1"/>
  <c r="CF28" i="9"/>
  <c r="CG28" i="9" s="1"/>
  <c r="CE30" i="9" l="1"/>
  <c r="C391" i="9"/>
  <c r="D391" i="9" s="1"/>
  <c r="CF29" i="9"/>
  <c r="CG29" i="9" s="1"/>
  <c r="CF30" i="9" l="1"/>
  <c r="CG30" i="9" s="1"/>
  <c r="C392" i="9"/>
  <c r="D392" i="9" s="1"/>
  <c r="CE31" i="9"/>
  <c r="C393" i="9" l="1"/>
  <c r="D393" i="9" s="1"/>
  <c r="CE32" i="9"/>
  <c r="CF31" i="9"/>
  <c r="CG31" i="9" s="1"/>
  <c r="CF32" i="9" l="1"/>
  <c r="CG32" i="9" s="1"/>
  <c r="CE33" i="9"/>
  <c r="C394" i="9"/>
  <c r="D394" i="9" s="1"/>
  <c r="C395" i="9" l="1"/>
  <c r="D395" i="9" s="1"/>
  <c r="CE34" i="9"/>
  <c r="CF33" i="9"/>
  <c r="CG33" i="9" s="1"/>
  <c r="CF34" i="9" l="1"/>
  <c r="CG34" i="9" s="1"/>
  <c r="CE35" i="9"/>
  <c r="C396" i="9"/>
  <c r="D396" i="9" s="1"/>
  <c r="CE36" i="9" l="1"/>
  <c r="C397" i="9"/>
  <c r="D397" i="9" s="1"/>
  <c r="CF35" i="9"/>
  <c r="CG35" i="9" s="1"/>
  <c r="C398" i="9" l="1"/>
  <c r="D398" i="9" s="1"/>
  <c r="CE37" i="9"/>
  <c r="CF36" i="9"/>
  <c r="CG36" i="9" s="1"/>
  <c r="CF37" i="9" l="1"/>
  <c r="C399" i="9"/>
  <c r="D399" i="9" s="1"/>
  <c r="CG37" i="9" l="1"/>
  <c r="CM4" i="9"/>
  <c r="CM7" i="9" s="1"/>
  <c r="CN7" i="9" l="1"/>
  <c r="C400" i="9"/>
  <c r="D400" i="9" s="1"/>
  <c r="CM8" i="9"/>
  <c r="C401" i="9" l="1"/>
  <c r="D401" i="9" s="1"/>
  <c r="CM9" i="9"/>
  <c r="CN8" i="9"/>
  <c r="C402" i="9" l="1"/>
  <c r="D402" i="9" s="1"/>
  <c r="CM10" i="9"/>
  <c r="CN9" i="9"/>
  <c r="CM11" i="9" l="1"/>
  <c r="C403" i="9"/>
  <c r="D403" i="9" s="1"/>
  <c r="CN10" i="9"/>
  <c r="CM12" i="9" l="1"/>
  <c r="C404" i="9"/>
  <c r="D404" i="9" s="1"/>
  <c r="CN11" i="9"/>
  <c r="CN12" i="9" l="1"/>
  <c r="C405" i="9"/>
  <c r="D405" i="9" s="1"/>
  <c r="CM13" i="9"/>
  <c r="CN13" i="9" l="1"/>
  <c r="C406" i="9"/>
  <c r="D406" i="9" s="1"/>
  <c r="CM14" i="9"/>
  <c r="C407" i="9" l="1"/>
  <c r="D407" i="9" s="1"/>
  <c r="CN14" i="9"/>
  <c r="CM15" i="9"/>
  <c r="C408" i="9" l="1"/>
  <c r="D408" i="9" s="1"/>
  <c r="CN15" i="9"/>
  <c r="CM16" i="9"/>
  <c r="C409" i="9" l="1"/>
  <c r="D409" i="9" s="1"/>
  <c r="CN16" i="9"/>
  <c r="CM17" i="9"/>
  <c r="CN17" i="9" l="1"/>
  <c r="C410" i="9"/>
  <c r="D410" i="9" s="1"/>
  <c r="CM18" i="9"/>
  <c r="C411" i="9" l="1"/>
  <c r="D411" i="9" s="1"/>
  <c r="CM19" i="9"/>
  <c r="CN18" i="9"/>
  <c r="CN19" i="9" l="1"/>
  <c r="CM20" i="9"/>
  <c r="C412" i="9"/>
  <c r="D412" i="9" s="1"/>
  <c r="C413" i="9" l="1"/>
  <c r="D413" i="9" s="1"/>
  <c r="CN20" i="9"/>
  <c r="CM21" i="9"/>
  <c r="CN21" i="9" l="1"/>
  <c r="CM22" i="9"/>
  <c r="C414" i="9"/>
  <c r="D414" i="9" s="1"/>
  <c r="CN22" i="9" l="1"/>
  <c r="CM23" i="9"/>
  <c r="C415" i="9"/>
  <c r="D415" i="9" s="1"/>
  <c r="CN23" i="9" l="1"/>
  <c r="C416" i="9"/>
  <c r="D416" i="9" s="1"/>
  <c r="CM24" i="9"/>
  <c r="CN24" i="9" l="1"/>
  <c r="CM25" i="9"/>
  <c r="C417" i="9"/>
  <c r="D417" i="9" s="1"/>
  <c r="C418" i="9" l="1"/>
  <c r="D418" i="9" s="1"/>
  <c r="CM26" i="9"/>
  <c r="CN25" i="9"/>
  <c r="CN26" i="9" l="1"/>
  <c r="CM27" i="9"/>
  <c r="C419" i="9"/>
  <c r="D419" i="9" s="1"/>
  <c r="CN27" i="9" l="1"/>
  <c r="CM28" i="9"/>
  <c r="C420" i="9"/>
  <c r="D420" i="9" s="1"/>
  <c r="C421" i="9" l="1"/>
  <c r="D421" i="9" s="1"/>
  <c r="CN28" i="9"/>
  <c r="CM29" i="9"/>
  <c r="CN29" i="9" l="1"/>
  <c r="C422" i="9"/>
  <c r="D422" i="9" s="1"/>
  <c r="CM30" i="9"/>
  <c r="CN30" i="9" l="1"/>
  <c r="CM31" i="9"/>
  <c r="C423" i="9"/>
  <c r="D423" i="9" s="1"/>
  <c r="CM32" i="9" l="1"/>
  <c r="C424" i="9"/>
  <c r="D424" i="9" s="1"/>
  <c r="CN31" i="9"/>
  <c r="CM33" i="9" l="1"/>
  <c r="CN32" i="9"/>
  <c r="C425" i="9"/>
  <c r="D425" i="9" s="1"/>
  <c r="CM34" i="9" l="1"/>
  <c r="C426" i="9"/>
  <c r="D426" i="9" s="1"/>
  <c r="CN33" i="9"/>
  <c r="CN34" i="9" l="1"/>
  <c r="C427" i="9"/>
  <c r="D427" i="9" s="1"/>
  <c r="CM35" i="9"/>
  <c r="C428" i="9" l="1"/>
  <c r="D428" i="9" s="1"/>
  <c r="CM36" i="9"/>
  <c r="CN35" i="9"/>
  <c r="CN36" i="9" l="1"/>
  <c r="CM37" i="9"/>
  <c r="C429" i="9"/>
  <c r="D429" i="9" s="1"/>
  <c r="C430" i="9" l="1"/>
  <c r="D430" i="9" s="1"/>
  <c r="D57" i="9" s="1"/>
  <c r="H37" i="1" s="1"/>
  <c r="CN37" i="9"/>
  <c r="CN3" i="9" s="1"/>
  <c r="CM3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tc={23891C75-ECAA-4451-9B92-1383A6053638}</author>
  </authors>
  <commentList>
    <comment ref="A22" authorId="0" shapeId="0" xr:uid="{23891C75-ECAA-4451-9B92-1383A6053638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Criei uma equipe fictícia para a POC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Rodrigo Azevedo Valillo</author>
  </authors>
  <commentList>
    <comment ref="C26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Colocar a sigla do nome do consultor ou:
- TR --&gt; Treinamentos
- WS --&gt; Workshops
* Esta sigla deve ser utilizada na planilha "Relatório de Consultoria" na coluna "Consultor"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tc={11C8FD98-9034-40FA-B598-3BC2BBA70B54}</author>
    <author>Rodrigo Azevedo Valillo</author>
  </authors>
  <commentList>
    <comment ref="CQ9" authorId="0" shapeId="0" xr:uid="{11C8FD98-9034-40FA-B598-3BC2BBA70B54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Só executar a Macro uma vez</t>
      </text>
    </comment>
    <comment ref="R39" authorId="1" shapeId="0" xr:uid="{00000000-0006-0000-0100-000001000000}">
      <text>
        <r>
          <rPr>
            <b/>
            <sz val="13"/>
            <color rgb="FF000000"/>
            <rFont val="Arial"/>
            <family val="2"/>
          </rPr>
          <t>Inserir valor conforme definido na proposta da consultoria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tc={61AD36CA-AFF4-4277-BA62-FCFD023753AB}</author>
  </authors>
  <commentList>
    <comment ref="B6" authorId="0" shapeId="0" xr:uid="{61AD36CA-AFF4-4277-BA62-FCFD023753AB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Precisa criar a lista de atividades com base na agenda. Essa lista deveria servir de base para o agendamento no Google Calendar e/ou Outlook
</t>
      </text>
    </comment>
  </commentList>
</comments>
</file>

<file path=xl/sharedStrings.xml><?xml version="1.0" encoding="utf-8"?>
<sst xmlns="http://schemas.openxmlformats.org/spreadsheetml/2006/main" count="195" uniqueCount="137">
  <si>
    <t>CONSULTOR</t>
  </si>
  <si>
    <t>ATIVIDADE</t>
  </si>
  <si>
    <t>Planejado</t>
  </si>
  <si>
    <t>Realizado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</si>
  <si>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</si>
  <si>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</si>
  <si>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</si>
  <si>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</si>
  <si>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</si>
  <si>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</si>
  <si>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</si>
  <si>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</si>
  <si>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</si>
  <si>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</si>
  <si>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</si>
  <si>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</si>
  <si>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HORAS</t>
  </si>
  <si>
    <t>Reprogramado</t>
  </si>
  <si>
    <t>S</t>
  </si>
  <si>
    <t>T</t>
  </si>
  <si>
    <t>Q</t>
  </si>
  <si>
    <t>D</t>
  </si>
  <si>
    <t>DIAS</t>
  </si>
  <si>
    <t>Total Realizado</t>
  </si>
  <si>
    <t>Total Restante</t>
  </si>
  <si>
    <t>Porcentagem Realizada</t>
  </si>
  <si>
    <t>RESPONSÁVEL</t>
  </si>
  <si>
    <t>Observações:</t>
  </si>
  <si>
    <t>Dias</t>
  </si>
  <si>
    <t>Data de Elaboração:</t>
  </si>
  <si>
    <t>Total Planejado do Projeto</t>
  </si>
  <si>
    <t>AGENDA DE CONSULTORIA</t>
  </si>
  <si>
    <t>TOTAL PROGRAMADO (HORAS)</t>
  </si>
  <si>
    <t>DATA</t>
  </si>
  <si>
    <t>ATIVIDADES REALIZADAS</t>
  </si>
  <si>
    <t>OBSERVAÇÕES</t>
  </si>
  <si>
    <t>Consultores/Atividades:</t>
  </si>
  <si>
    <t>Data de Atualização:</t>
  </si>
  <si>
    <t>TOTAL</t>
  </si>
  <si>
    <t xml:space="preserve">EFICIÊNCIA DO PROJETO   </t>
  </si>
  <si>
    <t>P</t>
  </si>
  <si>
    <t>R</t>
  </si>
  <si>
    <t>V</t>
  </si>
  <si>
    <t>Legenda</t>
  </si>
  <si>
    <t>GS</t>
  </si>
  <si>
    <t>Coaching</t>
  </si>
  <si>
    <t>Workshop</t>
  </si>
  <si>
    <t>AC</t>
  </si>
  <si>
    <t>Tollgate</t>
  </si>
  <si>
    <t>Pré-Tollgate</t>
  </si>
  <si>
    <t>Kaizen</t>
  </si>
  <si>
    <t>Trilha Ágil (Kaizen Sprint)</t>
  </si>
  <si>
    <t>Treinamento Gestores LSS</t>
  </si>
  <si>
    <t>RAI</t>
  </si>
  <si>
    <t>Diagnóstico</t>
  </si>
  <si>
    <t>OK</t>
  </si>
  <si>
    <t>Gestão e Ajuda Pontual</t>
  </si>
  <si>
    <t>Total Dias Planejados:</t>
  </si>
  <si>
    <t>Dias Executados:</t>
  </si>
  <si>
    <t>Tr./Workshop Champion</t>
  </si>
  <si>
    <t>Treinamento Kanban</t>
  </si>
  <si>
    <t>Tr. Green Belt</t>
  </si>
  <si>
    <t>XXX</t>
  </si>
  <si>
    <t>C</t>
  </si>
  <si>
    <t>CONFIRMADO</t>
  </si>
  <si>
    <t>A CONFIRMAR</t>
  </si>
  <si>
    <t>CONFIRMAÇÃO|TIPO DE PROJETO|NUMERO PROPOSTA|CLIENTE</t>
  </si>
  <si>
    <t>FORMATO DE AGENDAMENTO:</t>
  </si>
  <si>
    <t>CONFIRMAÇÃO:</t>
  </si>
  <si>
    <t>TIPO DE PROJETO</t>
  </si>
  <si>
    <t>TR</t>
  </si>
  <si>
    <t>TA</t>
  </si>
  <si>
    <t>CS</t>
  </si>
  <si>
    <t>AD</t>
  </si>
  <si>
    <t>VS</t>
  </si>
  <si>
    <t>AI</t>
  </si>
  <si>
    <t>RN</t>
  </si>
  <si>
    <t>AE</t>
  </si>
  <si>
    <t>TREINAMENTO IN COMPANY</t>
  </si>
  <si>
    <t>TREINAMENTO ABERTO</t>
  </si>
  <si>
    <t>CONSULTORIA</t>
  </si>
  <si>
    <t>AUDITORIA</t>
  </si>
  <si>
    <t>VISITA</t>
  </si>
  <si>
    <t>ATIVIDADE INTERNA</t>
  </si>
  <si>
    <t>ATIVIDADE EXTERNA</t>
  </si>
  <si>
    <t>REUNIÃO</t>
  </si>
  <si>
    <t>PLANO DIRETOR</t>
  </si>
  <si>
    <t xml:space="preserve">      Gerente do Projeto no Cliente: </t>
  </si>
  <si>
    <t>xxxxxxxx</t>
  </si>
  <si>
    <t>CLARO BRASIL</t>
  </si>
  <si>
    <t>NÚMERO DA PROPOSTA:</t>
  </si>
  <si>
    <t>HORÁRIO PADRÃO:</t>
  </si>
  <si>
    <t>8 HORAS</t>
  </si>
  <si>
    <t>4 HORAS MANHÃ:</t>
  </si>
  <si>
    <t>4 HORAS TARDE:</t>
  </si>
  <si>
    <t>Desconta 1 hora de almoço (13:00 às 14:00)</t>
  </si>
  <si>
    <t>Treinamento</t>
  </si>
  <si>
    <t>Consultoria</t>
  </si>
  <si>
    <t>Gilberto Strafacci</t>
  </si>
  <si>
    <t>ML</t>
  </si>
  <si>
    <t>JA</t>
  </si>
  <si>
    <t>RA</t>
  </si>
  <si>
    <t>Matias Leiva</t>
  </si>
  <si>
    <t>Jean Aires</t>
  </si>
  <si>
    <t>Robson Azevedo</t>
  </si>
  <si>
    <t>strafacci.gilberto@gmail.com</t>
  </si>
  <si>
    <t>Consultores | Códigos | E-mails</t>
  </si>
  <si>
    <t>Para POC ficaria: C|CS|11111|Claro Brasil</t>
  </si>
  <si>
    <t>RELATÓRIO DE CONSULTORIA REALIZADA</t>
  </si>
  <si>
    <t>break</t>
  </si>
  <si>
    <t>TITULO REUNIAO</t>
  </si>
  <si>
    <t>DIA</t>
  </si>
  <si>
    <t>Hora inicio</t>
  </si>
  <si>
    <t>Hora fim</t>
  </si>
  <si>
    <t>DataInicio</t>
  </si>
  <si>
    <t>DataFim</t>
  </si>
  <si>
    <t>Coluna1</t>
  </si>
  <si>
    <t>confirmado</t>
  </si>
  <si>
    <t>pendente</t>
  </si>
  <si>
    <t>Info</t>
  </si>
  <si>
    <t>Não realizado</t>
  </si>
  <si>
    <t>Mês</t>
  </si>
  <si>
    <t>Idconsultor</t>
  </si>
  <si>
    <t>Remarcar</t>
  </si>
  <si>
    <t>4M</t>
  </si>
  <si>
    <t>Atividade</t>
  </si>
  <si>
    <t>0,176,240</t>
  </si>
  <si>
    <t>4T</t>
  </si>
  <si>
    <t>jean.aires21@gmail.com</t>
  </si>
  <si>
    <t>Status</t>
  </si>
  <si>
    <t>Marcar</t>
  </si>
  <si>
    <t>hora inicio</t>
  </si>
  <si>
    <t>hora fim</t>
  </si>
  <si>
    <t>Consultor</t>
  </si>
  <si>
    <t>Dia</t>
  </si>
  <si>
    <t>Hora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</si>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</sst>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,##0.0"/>
    <numFmt numFmtId="165" formatCode="dd/mm/yyyy;@"/>
    <numFmt numFmtId="166" formatCode="dd/mm/yy;@"/>
    <numFmt numFmtId="167" formatCode="0.0"/>
    <numFmt numFmtId="168" formatCode="[$-F400]h:mm:ss\ AM/PM"/>
  </numFmts>
  <fonts count="38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10"/>
      <color indexed="9"/>
      <name val="Arial"/>
      <family val="2"/>
    </font>
    <font>
      <b/>
      <sz val="14"/>
      <name val="Arial"/>
      <family val="2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63"/>
      <name val="Arial"/>
      <family val="2"/>
    </font>
    <font>
      <b/>
      <sz val="20"/>
      <color indexed="20"/>
      <name val="Arial"/>
      <family val="2"/>
    </font>
    <font>
      <b/>
      <sz val="12"/>
      <color indexed="20"/>
      <name val="Arial"/>
      <family val="2"/>
    </font>
    <font>
      <b/>
      <sz val="14"/>
      <color indexed="63"/>
      <name val="Arial"/>
      <family val="2"/>
    </font>
    <font>
      <sz val="14"/>
      <name val="Arial"/>
      <family val="2"/>
    </font>
    <font>
      <b/>
      <sz val="25"/>
      <color indexed="20"/>
      <name val="Arial"/>
      <family val="2"/>
    </font>
    <font>
      <b/>
      <sz val="8"/>
      <color indexed="81"/>
      <name val="Tahoma"/>
      <family val="2"/>
    </font>
    <font>
      <sz val="10"/>
      <color indexed="63"/>
      <name val="Arial"/>
      <family val="2"/>
    </font>
    <font>
      <b/>
      <sz val="12"/>
      <color indexed="9"/>
      <name val="Arial"/>
      <family val="2"/>
    </font>
    <font>
      <b/>
      <sz val="17"/>
      <color indexed="9"/>
      <name val="Arial"/>
      <family val="2"/>
    </font>
    <font>
      <sz val="11"/>
      <name val="Arial"/>
      <family val="2"/>
    </font>
    <font>
      <b/>
      <sz val="14"/>
      <color indexed="2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20"/>
      <color theme="0"/>
      <name val="Arial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b/>
      <sz val="13"/>
      <color rgb="FF000000"/>
      <name val="Arial"/>
      <family val="2"/>
    </font>
    <font>
      <b/>
      <sz val="10"/>
      <color rgb="FFFFFFFF"/>
      <name val="Arial"/>
      <family val="2"/>
    </font>
    <font>
      <b/>
      <sz val="12"/>
      <color indexed="63"/>
      <name val="Arial"/>
      <family val="2"/>
    </font>
    <font>
      <sz val="12"/>
      <name val="Arial"/>
      <family val="2"/>
    </font>
    <font>
      <sz val="20"/>
      <name val="Arial"/>
      <family val="2"/>
    </font>
    <font>
      <u/>
      <sz val="10"/>
      <color theme="10"/>
      <name val="Arial"/>
      <family val="2"/>
    </font>
    <font>
      <sz val="10"/>
      <color rgb="FFFF0000"/>
      <name val="Arial"/>
      <family val="2"/>
    </font>
    <font>
      <b/>
      <sz val="20"/>
      <color rgb="FFFF0000"/>
      <name val="Arial"/>
      <family val="2"/>
    </font>
    <font>
      <u/>
      <sz val="10"/>
      <name val="Arial"/>
      <family val="2"/>
    </font>
    <font>
      <b/>
      <u/>
      <sz val="10"/>
      <name val="Arial"/>
      <family val="2"/>
    </font>
    <font>
      <sz val="10"/>
      <color theme="1"/>
      <name val="Arial"/>
      <family val="2"/>
    </font>
    <font>
      <sz val="16"/>
      <color rgb="FF000000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4600A5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20"/>
      </left>
      <right/>
      <top style="medium">
        <color indexed="64"/>
      </top>
      <bottom style="medium">
        <color indexed="20"/>
      </bottom>
      <diagonal/>
    </border>
    <border>
      <left/>
      <right/>
      <top style="medium">
        <color indexed="64"/>
      </top>
      <bottom style="medium">
        <color indexed="20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20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20"/>
      </bottom>
      <diagonal/>
    </border>
    <border>
      <left/>
      <right style="medium">
        <color indexed="20"/>
      </right>
      <top/>
      <bottom style="medium">
        <color indexed="64"/>
      </bottom>
      <diagonal/>
    </border>
    <border>
      <left style="medium">
        <color indexed="20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medium">
        <color indexed="64"/>
      </top>
      <bottom/>
      <diagonal style="thin">
        <color indexed="64"/>
      </diagonal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theme="0" tint="-0.14999847407452621"/>
      </right>
      <top style="medium">
        <color indexed="64"/>
      </top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medium">
        <color indexed="64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/>
      <bottom/>
      <diagonal/>
    </border>
  </borders>
  <cellStyleXfs count="3">
    <xf numFmtId="0" fontId="0" fillId="0" borderId="0"/>
    <xf numFmtId="0" fontId="21" fillId="0" borderId="0"/>
    <xf numFmtId="0" fontId="31" fillId="0" borderId="0" applyNumberFormat="0" applyFill="0" applyBorder="0" applyAlignment="0" applyProtection="0"/>
  </cellStyleXfs>
  <cellXfs count="318">
    <xf numFmtId="0" fontId="0" fillId="0" borderId="0" xfId="0"/>
    <xf numFmtId="0" fontId="0" fillId="2" borderId="1" xfId="0" applyFill="1" applyBorder="1" applyAlignment="1" applyProtection="1">
      <alignment horizontal="center" vertical="center"/>
      <protection locked="0"/>
    </xf>
    <xf numFmtId="0" fontId="0" fillId="2" borderId="2" xfId="0" applyFill="1" applyBorder="1" applyAlignment="1" applyProtection="1">
      <alignment horizontal="center" vertical="center"/>
      <protection locked="0"/>
    </xf>
    <xf numFmtId="0" fontId="1" fillId="2" borderId="0" xfId="0" applyFont="1" applyFill="1" applyProtection="1">
      <protection hidden="1"/>
    </xf>
    <xf numFmtId="0" fontId="7" fillId="2" borderId="3" xfId="0" applyFont="1" applyFill="1" applyBorder="1" applyProtection="1">
      <protection hidden="1"/>
    </xf>
    <xf numFmtId="0" fontId="0" fillId="2" borderId="3" xfId="0" applyFill="1" applyBorder="1" applyProtection="1">
      <protection hidden="1"/>
    </xf>
    <xf numFmtId="0" fontId="0" fillId="2" borderId="0" xfId="0" applyFill="1" applyAlignment="1" applyProtection="1">
      <alignment vertical="center"/>
      <protection hidden="1"/>
    </xf>
    <xf numFmtId="0" fontId="0" fillId="2" borderId="7" xfId="0" applyFill="1" applyBorder="1" applyAlignment="1" applyProtection="1">
      <alignment vertical="center"/>
      <protection hidden="1"/>
    </xf>
    <xf numFmtId="0" fontId="3" fillId="4" borderId="8" xfId="0" applyFont="1" applyFill="1" applyBorder="1" applyAlignment="1" applyProtection="1">
      <alignment horizontal="right" vertical="center" indent="1"/>
      <protection hidden="1"/>
    </xf>
    <xf numFmtId="0" fontId="3" fillId="4" borderId="9" xfId="0" applyFont="1" applyFill="1" applyBorder="1" applyAlignment="1" applyProtection="1">
      <alignment horizontal="right" vertical="center" indent="1"/>
      <protection hidden="1"/>
    </xf>
    <xf numFmtId="0" fontId="3" fillId="4" borderId="9" xfId="0" applyFont="1" applyFill="1" applyBorder="1" applyAlignment="1" applyProtection="1">
      <alignment horizontal="right" vertical="center"/>
      <protection hidden="1"/>
    </xf>
    <xf numFmtId="0" fontId="3" fillId="4" borderId="10" xfId="0" applyFont="1" applyFill="1" applyBorder="1" applyAlignment="1" applyProtection="1">
      <alignment horizontal="right" vertical="center"/>
      <protection hidden="1"/>
    </xf>
    <xf numFmtId="0" fontId="0" fillId="2" borderId="13" xfId="0" applyFill="1" applyBorder="1" applyProtection="1">
      <protection hidden="1"/>
    </xf>
    <xf numFmtId="0" fontId="0" fillId="2" borderId="7" xfId="0" applyFill="1" applyBorder="1" applyProtection="1">
      <protection hidden="1"/>
    </xf>
    <xf numFmtId="0" fontId="0" fillId="2" borderId="14" xfId="0" applyFill="1" applyBorder="1" applyProtection="1">
      <protection hidden="1"/>
    </xf>
    <xf numFmtId="0" fontId="0" fillId="2" borderId="0" xfId="0" applyFill="1" applyProtection="1">
      <protection hidden="1"/>
    </xf>
    <xf numFmtId="0" fontId="0" fillId="2" borderId="15" xfId="0" applyFill="1" applyBorder="1" applyProtection="1">
      <protection hidden="1"/>
    </xf>
    <xf numFmtId="0" fontId="0" fillId="2" borderId="16" xfId="0" applyFill="1" applyBorder="1" applyProtection="1">
      <protection hidden="1"/>
    </xf>
    <xf numFmtId="0" fontId="0" fillId="2" borderId="16" xfId="0" applyFill="1" applyBorder="1" applyAlignment="1" applyProtection="1">
      <alignment horizontal="center"/>
      <protection hidden="1"/>
    </xf>
    <xf numFmtId="0" fontId="4" fillId="3" borderId="2" xfId="0" applyFont="1" applyFill="1" applyBorder="1" applyAlignment="1" applyProtection="1">
      <alignment horizontal="center" vertical="center"/>
      <protection hidden="1"/>
    </xf>
    <xf numFmtId="0" fontId="0" fillId="2" borderId="18" xfId="0" applyFill="1" applyBorder="1" applyProtection="1">
      <protection hidden="1"/>
    </xf>
    <xf numFmtId="0" fontId="0" fillId="2" borderId="19" xfId="0" applyFill="1" applyBorder="1" applyProtection="1">
      <protection hidden="1"/>
    </xf>
    <xf numFmtId="0" fontId="0" fillId="2" borderId="1" xfId="0" applyFill="1" applyBorder="1" applyAlignment="1" applyProtection="1">
      <alignment vertical="center"/>
      <protection hidden="1"/>
    </xf>
    <xf numFmtId="0" fontId="0" fillId="2" borderId="1" xfId="0" applyFill="1" applyBorder="1" applyAlignment="1" applyProtection="1">
      <alignment horizontal="left" vertical="center"/>
      <protection hidden="1"/>
    </xf>
    <xf numFmtId="0" fontId="0" fillId="2" borderId="0" xfId="0" applyFill="1" applyProtection="1">
      <protection locked="0"/>
    </xf>
    <xf numFmtId="166" fontId="1" fillId="2" borderId="0" xfId="0" applyNumberFormat="1" applyFont="1" applyFill="1" applyProtection="1">
      <protection hidden="1"/>
    </xf>
    <xf numFmtId="0" fontId="4" fillId="3" borderId="20" xfId="0" applyFont="1" applyFill="1" applyBorder="1" applyAlignment="1" applyProtection="1">
      <alignment horizontal="center" vertical="center"/>
      <protection hidden="1"/>
    </xf>
    <xf numFmtId="0" fontId="4" fillId="3" borderId="21" xfId="0" applyFont="1" applyFill="1" applyBorder="1" applyAlignment="1" applyProtection="1">
      <alignment horizontal="center" vertical="center"/>
      <protection hidden="1"/>
    </xf>
    <xf numFmtId="0" fontId="4" fillId="3" borderId="22" xfId="0" applyFont="1" applyFill="1" applyBorder="1" applyAlignment="1" applyProtection="1">
      <alignment horizontal="center" vertical="center"/>
      <protection hidden="1"/>
    </xf>
    <xf numFmtId="0" fontId="4" fillId="3" borderId="23" xfId="0" applyFont="1" applyFill="1" applyBorder="1" applyAlignment="1" applyProtection="1">
      <alignment horizontal="center" vertical="center"/>
      <protection hidden="1"/>
    </xf>
    <xf numFmtId="166" fontId="4" fillId="3" borderId="24" xfId="0" applyNumberFormat="1" applyFont="1" applyFill="1" applyBorder="1" applyAlignment="1" applyProtection="1">
      <alignment horizontal="center" vertical="center"/>
      <protection hidden="1"/>
    </xf>
    <xf numFmtId="0" fontId="3" fillId="5" borderId="17" xfId="0" applyFont="1" applyFill="1" applyBorder="1" applyAlignment="1" applyProtection="1">
      <alignment horizontal="center" vertical="center"/>
      <protection hidden="1"/>
    </xf>
    <xf numFmtId="0" fontId="4" fillId="3" borderId="9" xfId="0" applyFont="1" applyFill="1" applyBorder="1" applyAlignment="1" applyProtection="1">
      <alignment horizontal="center" vertical="center"/>
      <protection hidden="1"/>
    </xf>
    <xf numFmtId="166" fontId="4" fillId="3" borderId="25" xfId="0" applyNumberFormat="1" applyFont="1" applyFill="1" applyBorder="1" applyAlignment="1" applyProtection="1">
      <alignment horizontal="center" vertical="center"/>
      <protection hidden="1"/>
    </xf>
    <xf numFmtId="0" fontId="4" fillId="3" borderId="1" xfId="0" applyFont="1" applyFill="1" applyBorder="1" applyAlignment="1" applyProtection="1">
      <alignment horizontal="center" vertical="center"/>
      <protection hidden="1"/>
    </xf>
    <xf numFmtId="0" fontId="3" fillId="5" borderId="1" xfId="0" applyFont="1" applyFill="1" applyBorder="1" applyAlignment="1" applyProtection="1">
      <alignment horizontal="center" vertical="center"/>
      <protection hidden="1"/>
    </xf>
    <xf numFmtId="0" fontId="4" fillId="3" borderId="10" xfId="0" applyFont="1" applyFill="1" applyBorder="1" applyAlignment="1" applyProtection="1">
      <alignment horizontal="center" vertical="center"/>
      <protection hidden="1"/>
    </xf>
    <xf numFmtId="166" fontId="4" fillId="3" borderId="6" xfId="0" applyNumberFormat="1" applyFont="1" applyFill="1" applyBorder="1" applyAlignment="1" applyProtection="1">
      <alignment horizontal="center" vertical="center"/>
      <protection hidden="1"/>
    </xf>
    <xf numFmtId="0" fontId="3" fillId="5" borderId="2" xfId="0" applyFont="1" applyFill="1" applyBorder="1" applyAlignment="1" applyProtection="1">
      <alignment horizontal="center" vertical="center"/>
      <protection hidden="1"/>
    </xf>
    <xf numFmtId="0" fontId="0" fillId="5" borderId="13" xfId="0" applyFill="1" applyBorder="1" applyAlignment="1" applyProtection="1">
      <alignment vertical="center"/>
      <protection hidden="1"/>
    </xf>
    <xf numFmtId="0" fontId="0" fillId="5" borderId="7" xfId="0" applyFill="1" applyBorder="1" applyAlignment="1" applyProtection="1">
      <alignment vertical="center"/>
      <protection hidden="1"/>
    </xf>
    <xf numFmtId="0" fontId="0" fillId="5" borderId="14" xfId="0" applyFill="1" applyBorder="1" applyAlignment="1" applyProtection="1">
      <alignment vertical="center"/>
      <protection hidden="1"/>
    </xf>
    <xf numFmtId="0" fontId="3" fillId="5" borderId="15" xfId="0" applyFont="1" applyFill="1" applyBorder="1" applyAlignment="1" applyProtection="1">
      <alignment horizontal="right" vertical="center"/>
      <protection hidden="1"/>
    </xf>
    <xf numFmtId="0" fontId="0" fillId="5" borderId="0" xfId="0" applyFill="1" applyAlignment="1" applyProtection="1">
      <alignment vertical="center"/>
      <protection hidden="1"/>
    </xf>
    <xf numFmtId="0" fontId="3" fillId="5" borderId="0" xfId="0" applyFont="1" applyFill="1" applyAlignment="1" applyProtection="1">
      <alignment horizontal="right" vertical="center"/>
      <protection hidden="1"/>
    </xf>
    <xf numFmtId="0" fontId="0" fillId="5" borderId="16" xfId="0" applyFill="1" applyBorder="1" applyAlignment="1" applyProtection="1">
      <alignment vertical="center"/>
      <protection hidden="1"/>
    </xf>
    <xf numFmtId="0" fontId="5" fillId="2" borderId="0" xfId="0" applyFont="1" applyFill="1" applyAlignment="1" applyProtection="1">
      <alignment horizontal="left" vertical="center"/>
      <protection hidden="1"/>
    </xf>
    <xf numFmtId="0" fontId="3" fillId="5" borderId="15" xfId="0" applyFont="1" applyFill="1" applyBorder="1" applyAlignment="1" applyProtection="1">
      <alignment horizontal="right" vertical="center" indent="1"/>
      <protection hidden="1"/>
    </xf>
    <xf numFmtId="0" fontId="0" fillId="5" borderId="26" xfId="0" applyFill="1" applyBorder="1" applyAlignment="1" applyProtection="1">
      <alignment horizontal="center" vertical="center"/>
      <protection hidden="1"/>
    </xf>
    <xf numFmtId="0" fontId="12" fillId="2" borderId="0" xfId="0" applyFont="1" applyFill="1" applyAlignment="1" applyProtection="1">
      <alignment vertical="center"/>
      <protection hidden="1"/>
    </xf>
    <xf numFmtId="0" fontId="0" fillId="5" borderId="18" xfId="0" applyFill="1" applyBorder="1" applyAlignment="1" applyProtection="1">
      <alignment vertical="center"/>
      <protection hidden="1"/>
    </xf>
    <xf numFmtId="0" fontId="3" fillId="5" borderId="3" xfId="0" applyFont="1" applyFill="1" applyBorder="1" applyAlignment="1" applyProtection="1">
      <alignment horizontal="right" vertical="center" indent="1"/>
      <protection hidden="1"/>
    </xf>
    <xf numFmtId="0" fontId="0" fillId="5" borderId="3" xfId="0" applyFill="1" applyBorder="1" applyAlignment="1" applyProtection="1">
      <alignment horizontal="center" vertical="center"/>
      <protection hidden="1"/>
    </xf>
    <xf numFmtId="0" fontId="0" fillId="5" borderId="3" xfId="0" applyFill="1" applyBorder="1" applyAlignment="1" applyProtection="1">
      <alignment vertical="center"/>
      <protection hidden="1"/>
    </xf>
    <xf numFmtId="0" fontId="0" fillId="5" borderId="19" xfId="0" applyFill="1" applyBorder="1" applyAlignment="1" applyProtection="1">
      <alignment vertical="center"/>
      <protection hidden="1"/>
    </xf>
    <xf numFmtId="0" fontId="13" fillId="2" borderId="0" xfId="0" applyFont="1" applyFill="1" applyAlignment="1" applyProtection="1">
      <alignment vertical="center"/>
      <protection hidden="1"/>
    </xf>
    <xf numFmtId="165" fontId="0" fillId="2" borderId="27" xfId="0" applyNumberFormat="1" applyFill="1" applyBorder="1" applyAlignment="1" applyProtection="1">
      <alignment horizontal="center" vertical="center"/>
      <protection hidden="1"/>
    </xf>
    <xf numFmtId="0" fontId="0" fillId="2" borderId="28" xfId="0" applyFill="1" applyBorder="1" applyAlignment="1" applyProtection="1">
      <alignment horizontal="center" vertical="center"/>
      <protection hidden="1"/>
    </xf>
    <xf numFmtId="0" fontId="0" fillId="2" borderId="28" xfId="0" applyFill="1" applyBorder="1" applyAlignment="1" applyProtection="1">
      <alignment vertical="center" wrapText="1"/>
      <protection hidden="1"/>
    </xf>
    <xf numFmtId="0" fontId="0" fillId="2" borderId="29" xfId="0" applyFill="1" applyBorder="1" applyAlignment="1" applyProtection="1">
      <alignment vertical="center" wrapText="1"/>
      <protection hidden="1"/>
    </xf>
    <xf numFmtId="165" fontId="0" fillId="2" borderId="25" xfId="0" applyNumberFormat="1" applyFill="1" applyBorder="1" applyAlignment="1" applyProtection="1">
      <alignment horizontal="center" vertical="center"/>
      <protection locked="0"/>
    </xf>
    <xf numFmtId="165" fontId="0" fillId="2" borderId="5" xfId="0" applyNumberFormat="1" applyFill="1" applyBorder="1" applyAlignment="1" applyProtection="1">
      <alignment horizontal="center" vertical="center"/>
      <protection locked="0"/>
    </xf>
    <xf numFmtId="0" fontId="0" fillId="2" borderId="30" xfId="0" applyFill="1" applyBorder="1" applyAlignment="1" applyProtection="1">
      <alignment horizontal="center" vertical="center"/>
      <protection locked="0"/>
    </xf>
    <xf numFmtId="0" fontId="0" fillId="2" borderId="30" xfId="0" applyFill="1" applyBorder="1" applyAlignment="1" applyProtection="1">
      <alignment vertical="center" wrapText="1"/>
      <protection locked="0"/>
    </xf>
    <xf numFmtId="0" fontId="0" fillId="2" borderId="31" xfId="0" applyFill="1" applyBorder="1" applyAlignment="1" applyProtection="1">
      <alignment vertical="center" wrapText="1"/>
      <protection locked="0"/>
    </xf>
    <xf numFmtId="165" fontId="0" fillId="2" borderId="6" xfId="0" applyNumberFormat="1" applyFill="1" applyBorder="1" applyAlignment="1" applyProtection="1">
      <alignment horizontal="center" vertical="center"/>
      <protection locked="0"/>
    </xf>
    <xf numFmtId="0" fontId="0" fillId="2" borderId="2" xfId="0" applyFill="1" applyBorder="1" applyAlignment="1" applyProtection="1">
      <alignment vertical="center" wrapText="1"/>
      <protection locked="0"/>
    </xf>
    <xf numFmtId="0" fontId="0" fillId="2" borderId="12" xfId="0" applyFill="1" applyBorder="1" applyAlignment="1" applyProtection="1">
      <alignment vertical="center" wrapText="1"/>
      <protection locked="0"/>
    </xf>
    <xf numFmtId="0" fontId="3" fillId="4" borderId="32" xfId="0" applyFont="1" applyFill="1" applyBorder="1" applyAlignment="1" applyProtection="1">
      <alignment horizontal="center" vertical="center"/>
      <protection locked="0"/>
    </xf>
    <xf numFmtId="0" fontId="3" fillId="4" borderId="33" xfId="0" applyFont="1" applyFill="1" applyBorder="1" applyAlignment="1" applyProtection="1">
      <alignment horizontal="center" vertical="center"/>
      <protection locked="0"/>
    </xf>
    <xf numFmtId="0" fontId="3" fillId="4" borderId="34" xfId="0" applyFont="1" applyFill="1" applyBorder="1" applyAlignment="1" applyProtection="1">
      <alignment horizontal="center" vertical="center"/>
      <protection locked="0"/>
    </xf>
    <xf numFmtId="0" fontId="0" fillId="2" borderId="0" xfId="0" applyFill="1" applyAlignment="1" applyProtection="1">
      <alignment vertical="center"/>
      <protection locked="0"/>
    </xf>
    <xf numFmtId="166" fontId="0" fillId="2" borderId="0" xfId="0" applyNumberFormat="1" applyFill="1" applyAlignment="1" applyProtection="1">
      <alignment vertical="center"/>
      <protection hidden="1"/>
    </xf>
    <xf numFmtId="166" fontId="0" fillId="2" borderId="0" xfId="0" applyNumberFormat="1" applyFill="1" applyProtection="1">
      <protection hidden="1"/>
    </xf>
    <xf numFmtId="0" fontId="0" fillId="2" borderId="15" xfId="0" applyFill="1" applyBorder="1" applyAlignment="1" applyProtection="1">
      <alignment vertical="center"/>
      <protection locked="0"/>
    </xf>
    <xf numFmtId="0" fontId="0" fillId="2" borderId="16" xfId="0" applyFill="1" applyBorder="1" applyAlignment="1" applyProtection="1">
      <alignment vertical="center"/>
      <protection locked="0"/>
    </xf>
    <xf numFmtId="165" fontId="0" fillId="3" borderId="35" xfId="0" applyNumberFormat="1" applyFill="1" applyBorder="1" applyAlignment="1" applyProtection="1">
      <alignment horizontal="center" vertical="center"/>
      <protection locked="0"/>
    </xf>
    <xf numFmtId="0" fontId="0" fillId="3" borderId="36" xfId="0" applyFill="1" applyBorder="1" applyAlignment="1" applyProtection="1">
      <alignment horizontal="center" vertical="center"/>
      <protection locked="0"/>
    </xf>
    <xf numFmtId="0" fontId="0" fillId="3" borderId="36" xfId="0" applyFill="1" applyBorder="1" applyAlignment="1" applyProtection="1">
      <alignment vertical="center" wrapText="1"/>
      <protection locked="0"/>
    </xf>
    <xf numFmtId="0" fontId="0" fillId="3" borderId="37" xfId="0" applyFill="1" applyBorder="1" applyAlignment="1" applyProtection="1">
      <alignment vertical="center" wrapText="1"/>
      <protection locked="0"/>
    </xf>
    <xf numFmtId="0" fontId="3" fillId="2" borderId="0" xfId="0" applyFont="1" applyFill="1" applyAlignment="1" applyProtection="1">
      <alignment horizontal="center" vertical="center"/>
      <protection hidden="1"/>
    </xf>
    <xf numFmtId="0" fontId="22" fillId="2" borderId="0" xfId="0" applyFont="1" applyFill="1" applyAlignment="1" applyProtection="1">
      <alignment horizontal="left" vertical="center"/>
      <protection hidden="1"/>
    </xf>
    <xf numFmtId="0" fontId="23" fillId="2" borderId="0" xfId="0" applyFont="1" applyFill="1" applyProtection="1">
      <protection hidden="1"/>
    </xf>
    <xf numFmtId="0" fontId="3" fillId="12" borderId="1" xfId="0" applyFont="1" applyFill="1" applyBorder="1" applyAlignment="1" applyProtection="1">
      <alignment horizontal="center" vertical="center"/>
      <protection hidden="1"/>
    </xf>
    <xf numFmtId="0" fontId="3" fillId="15" borderId="1" xfId="0" applyFont="1" applyFill="1" applyBorder="1" applyAlignment="1" applyProtection="1">
      <alignment horizontal="center" vertical="center"/>
      <protection hidden="1"/>
    </xf>
    <xf numFmtId="0" fontId="24" fillId="17" borderId="1" xfId="0" applyFont="1" applyFill="1" applyBorder="1" applyAlignment="1" applyProtection="1">
      <alignment horizontal="center" vertical="center"/>
      <protection hidden="1"/>
    </xf>
    <xf numFmtId="0" fontId="3" fillId="18" borderId="1" xfId="0" applyFont="1" applyFill="1" applyBorder="1" applyAlignment="1" applyProtection="1">
      <alignment horizontal="center" vertical="center"/>
      <protection hidden="1"/>
    </xf>
    <xf numFmtId="0" fontId="24" fillId="19" borderId="1" xfId="0" applyFont="1" applyFill="1" applyBorder="1" applyAlignment="1" applyProtection="1">
      <alignment horizontal="center" vertical="center"/>
      <protection hidden="1"/>
    </xf>
    <xf numFmtId="0" fontId="3" fillId="2" borderId="0" xfId="0" applyFont="1" applyFill="1" applyAlignment="1" applyProtection="1">
      <alignment vertical="center"/>
      <protection hidden="1"/>
    </xf>
    <xf numFmtId="0" fontId="3" fillId="20" borderId="1" xfId="0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vertical="center"/>
      <protection locked="0"/>
    </xf>
    <xf numFmtId="0" fontId="15" fillId="2" borderId="41" xfId="0" applyFont="1" applyFill="1" applyBorder="1" applyAlignment="1" applyProtection="1">
      <alignment horizontal="center" vertical="center" wrapText="1"/>
      <protection locked="0"/>
    </xf>
    <xf numFmtId="0" fontId="4" fillId="24" borderId="20" xfId="0" applyFont="1" applyFill="1" applyBorder="1" applyAlignment="1" applyProtection="1">
      <alignment horizontal="center" vertical="center"/>
      <protection hidden="1"/>
    </xf>
    <xf numFmtId="0" fontId="4" fillId="24" borderId="42" xfId="0" applyFont="1" applyFill="1" applyBorder="1" applyAlignment="1" applyProtection="1">
      <alignment horizontal="center" vertical="center"/>
      <protection hidden="1"/>
    </xf>
    <xf numFmtId="0" fontId="3" fillId="0" borderId="46" xfId="0" applyFont="1" applyBorder="1" applyAlignment="1" applyProtection="1">
      <alignment horizontal="center" vertical="center"/>
      <protection locked="0"/>
    </xf>
    <xf numFmtId="0" fontId="4" fillId="13" borderId="21" xfId="0" applyFont="1" applyFill="1" applyBorder="1" applyAlignment="1" applyProtection="1">
      <alignment horizontal="center" vertical="center"/>
      <protection hidden="1"/>
    </xf>
    <xf numFmtId="0" fontId="4" fillId="13" borderId="22" xfId="0" applyFont="1" applyFill="1" applyBorder="1" applyAlignment="1" applyProtection="1">
      <alignment horizontal="center" vertical="center"/>
      <protection hidden="1"/>
    </xf>
    <xf numFmtId="0" fontId="4" fillId="13" borderId="20" xfId="0" applyFont="1" applyFill="1" applyBorder="1" applyAlignment="1" applyProtection="1">
      <alignment horizontal="center" vertical="center"/>
      <protection hidden="1"/>
    </xf>
    <xf numFmtId="0" fontId="4" fillId="13" borderId="42" xfId="0" applyFont="1" applyFill="1" applyBorder="1" applyAlignment="1" applyProtection="1">
      <alignment horizontal="center" vertical="center"/>
      <protection hidden="1"/>
    </xf>
    <xf numFmtId="0" fontId="4" fillId="3" borderId="47" xfId="0" applyFont="1" applyFill="1" applyBorder="1" applyAlignment="1" applyProtection="1">
      <alignment horizontal="center" vertical="center"/>
      <protection hidden="1"/>
    </xf>
    <xf numFmtId="0" fontId="4" fillId="3" borderId="4" xfId="0" applyFont="1" applyFill="1" applyBorder="1" applyAlignment="1" applyProtection="1">
      <alignment horizontal="center" vertical="center"/>
      <protection hidden="1"/>
    </xf>
    <xf numFmtId="0" fontId="4" fillId="3" borderId="48" xfId="0" applyFont="1" applyFill="1" applyBorder="1" applyAlignment="1" applyProtection="1">
      <alignment horizontal="center" vertical="center"/>
      <protection hidden="1"/>
    </xf>
    <xf numFmtId="0" fontId="25" fillId="0" borderId="25" xfId="0" applyFont="1" applyBorder="1" applyAlignment="1" applyProtection="1">
      <alignment horizontal="center" vertical="center" wrapText="1"/>
      <protection locked="0"/>
    </xf>
    <xf numFmtId="0" fontId="15" fillId="2" borderId="9" xfId="0" applyFont="1" applyFill="1" applyBorder="1" applyAlignment="1" applyProtection="1">
      <alignment horizontal="center" vertical="center" wrapText="1"/>
      <protection locked="0"/>
    </xf>
    <xf numFmtId="0" fontId="20" fillId="2" borderId="0" xfId="0" applyFont="1" applyFill="1" applyAlignment="1" applyProtection="1">
      <alignment vertical="center"/>
      <protection hidden="1"/>
    </xf>
    <xf numFmtId="0" fontId="1" fillId="0" borderId="9" xfId="0" applyFont="1" applyBorder="1" applyAlignment="1">
      <alignment horizontal="center" vertical="center"/>
    </xf>
    <xf numFmtId="0" fontId="1" fillId="2" borderId="0" xfId="0" applyFont="1" applyFill="1" applyAlignment="1" applyProtection="1">
      <alignment vertical="center"/>
      <protection hidden="1"/>
    </xf>
    <xf numFmtId="0" fontId="3" fillId="2" borderId="0" xfId="0" applyFont="1" applyFill="1" applyAlignment="1" applyProtection="1">
      <alignment vertical="center"/>
      <protection locked="0"/>
    </xf>
    <xf numFmtId="0" fontId="4" fillId="3" borderId="17" xfId="0" applyFont="1" applyFill="1" applyBorder="1" applyAlignment="1" applyProtection="1">
      <alignment horizontal="center" vertical="center"/>
      <protection hidden="1"/>
    </xf>
    <xf numFmtId="0" fontId="4" fillId="3" borderId="44" xfId="0" applyFont="1" applyFill="1" applyBorder="1" applyAlignment="1" applyProtection="1">
      <alignment horizontal="center" vertical="center"/>
      <protection hidden="1"/>
    </xf>
    <xf numFmtId="0" fontId="3" fillId="2" borderId="0" xfId="0" applyFont="1" applyFill="1" applyAlignment="1" applyProtection="1">
      <alignment horizontal="left" indent="1"/>
      <protection hidden="1"/>
    </xf>
    <xf numFmtId="0" fontId="4" fillId="2" borderId="0" xfId="0" applyFont="1" applyFill="1" applyAlignment="1" applyProtection="1">
      <alignment horizontal="right" vertical="center" indent="3"/>
      <protection hidden="1"/>
    </xf>
    <xf numFmtId="9" fontId="4" fillId="2" borderId="0" xfId="0" applyNumberFormat="1" applyFont="1" applyFill="1" applyAlignment="1" applyProtection="1">
      <alignment horizontal="center" vertical="center"/>
      <protection hidden="1"/>
    </xf>
    <xf numFmtId="0" fontId="3" fillId="2" borderId="0" xfId="0" applyFont="1" applyFill="1" applyAlignment="1" applyProtection="1">
      <alignment horizontal="right" vertical="center"/>
      <protection hidden="1"/>
    </xf>
    <xf numFmtId="0" fontId="25" fillId="0" borderId="1" xfId="0" applyFont="1" applyBorder="1" applyAlignment="1" applyProtection="1">
      <alignment horizontal="center" vertical="center" wrapText="1"/>
      <protection locked="0"/>
    </xf>
    <xf numFmtId="0" fontId="25" fillId="0" borderId="11" xfId="0" applyFont="1" applyBorder="1" applyAlignment="1" applyProtection="1">
      <alignment horizontal="center" vertical="center" wrapText="1"/>
      <protection locked="0"/>
    </xf>
    <xf numFmtId="0" fontId="4" fillId="3" borderId="63" xfId="0" applyFont="1" applyFill="1" applyBorder="1" applyAlignment="1" applyProtection="1">
      <alignment horizontal="center" vertical="center"/>
      <protection hidden="1"/>
    </xf>
    <xf numFmtId="0" fontId="4" fillId="3" borderId="58" xfId="0" applyFont="1" applyFill="1" applyBorder="1" applyAlignment="1" applyProtection="1">
      <alignment horizontal="center" vertical="center"/>
      <protection hidden="1"/>
    </xf>
    <xf numFmtId="0" fontId="25" fillId="0" borderId="24" xfId="0" applyFont="1" applyBorder="1" applyAlignment="1" applyProtection="1">
      <alignment horizontal="center" vertical="center" wrapText="1"/>
      <protection locked="0"/>
    </xf>
    <xf numFmtId="0" fontId="25" fillId="0" borderId="17" xfId="0" applyFont="1" applyBorder="1" applyAlignment="1" applyProtection="1">
      <alignment horizontal="center" vertical="center" wrapText="1"/>
      <protection locked="0"/>
    </xf>
    <xf numFmtId="0" fontId="25" fillId="0" borderId="40" xfId="0" applyFont="1" applyBorder="1" applyAlignment="1" applyProtection="1">
      <alignment horizontal="center" vertical="center" wrapText="1"/>
      <protection locked="0"/>
    </xf>
    <xf numFmtId="0" fontId="15" fillId="2" borderId="65" xfId="0" applyFont="1" applyFill="1" applyBorder="1" applyAlignment="1" applyProtection="1">
      <alignment horizontal="center" vertical="center" wrapText="1"/>
      <protection locked="0"/>
    </xf>
    <xf numFmtId="0" fontId="6" fillId="0" borderId="10" xfId="0" applyFont="1" applyBorder="1" applyAlignment="1">
      <alignment horizontal="center" vertical="center"/>
    </xf>
    <xf numFmtId="0" fontId="25" fillId="0" borderId="6" xfId="0" applyFont="1" applyBorder="1" applyAlignment="1" applyProtection="1">
      <alignment horizontal="center" vertical="center" wrapText="1"/>
      <protection locked="0"/>
    </xf>
    <xf numFmtId="0" fontId="25" fillId="0" borderId="2" xfId="0" applyFont="1" applyBorder="1" applyAlignment="1" applyProtection="1">
      <alignment horizontal="center" vertical="center" wrapText="1"/>
      <protection locked="0"/>
    </xf>
    <xf numFmtId="0" fontId="25" fillId="0" borderId="12" xfId="0" applyFont="1" applyBorder="1" applyAlignment="1" applyProtection="1">
      <alignment horizontal="center" vertical="center" wrapText="1"/>
      <protection locked="0"/>
    </xf>
    <xf numFmtId="0" fontId="3" fillId="14" borderId="1" xfId="0" applyFont="1" applyFill="1" applyBorder="1" applyAlignment="1" applyProtection="1">
      <alignment horizontal="center" vertical="center"/>
      <protection locked="0"/>
    </xf>
    <xf numFmtId="0" fontId="3" fillId="21" borderId="1" xfId="0" applyFont="1" applyFill="1" applyBorder="1" applyAlignment="1" applyProtection="1">
      <alignment horizontal="center" vertical="center"/>
      <protection locked="0"/>
    </xf>
    <xf numFmtId="0" fontId="3" fillId="23" borderId="1" xfId="0" applyFont="1" applyFill="1" applyBorder="1" applyAlignment="1" applyProtection="1">
      <alignment horizontal="center" vertical="center"/>
      <protection locked="0"/>
    </xf>
    <xf numFmtId="0" fontId="0" fillId="2" borderId="17" xfId="0" applyFill="1" applyBorder="1" applyAlignment="1" applyProtection="1">
      <alignment horizontal="center" vertical="center"/>
      <protection locked="0"/>
    </xf>
    <xf numFmtId="0" fontId="29" fillId="2" borderId="0" xfId="0" applyFont="1" applyFill="1" applyProtection="1">
      <protection hidden="1"/>
    </xf>
    <xf numFmtId="0" fontId="1" fillId="0" borderId="64" xfId="0" applyFont="1" applyBorder="1" applyAlignment="1">
      <alignment horizontal="center"/>
    </xf>
    <xf numFmtId="0" fontId="1" fillId="0" borderId="41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2" borderId="17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7" xfId="0" applyFont="1" applyFill="1" applyBorder="1" applyAlignment="1" applyProtection="1">
      <alignment vertical="center" wrapText="1"/>
      <protection locked="0"/>
    </xf>
    <xf numFmtId="0" fontId="1" fillId="2" borderId="45" xfId="0" applyFont="1" applyFill="1" applyBorder="1" applyAlignment="1" applyProtection="1">
      <alignment vertical="center" wrapText="1"/>
      <protection locked="0"/>
    </xf>
    <xf numFmtId="0" fontId="1" fillId="2" borderId="40" xfId="0" applyFont="1" applyFill="1" applyBorder="1" applyAlignment="1" applyProtection="1">
      <alignment horizontal="left" vertical="center" wrapText="1"/>
      <protection locked="0"/>
    </xf>
    <xf numFmtId="0" fontId="1" fillId="2" borderId="11" xfId="0" applyFont="1" applyFill="1" applyBorder="1" applyAlignment="1" applyProtection="1">
      <alignment horizontal="left" vertical="center" wrapText="1"/>
      <protection locked="0"/>
    </xf>
    <xf numFmtId="0" fontId="4" fillId="13" borderId="66" xfId="0" applyFont="1" applyFill="1" applyBorder="1" applyAlignment="1" applyProtection="1">
      <alignment horizontal="center" vertical="center"/>
      <protection hidden="1"/>
    </xf>
    <xf numFmtId="166" fontId="4" fillId="3" borderId="1" xfId="0" applyNumberFormat="1" applyFont="1" applyFill="1" applyBorder="1" applyAlignment="1" applyProtection="1">
      <alignment horizontal="center" vertical="center"/>
      <protection hidden="1"/>
    </xf>
    <xf numFmtId="0" fontId="4" fillId="3" borderId="43" xfId="0" applyFont="1" applyFill="1" applyBorder="1" applyAlignment="1" applyProtection="1">
      <alignment horizontal="center" vertical="center"/>
      <protection hidden="1"/>
    </xf>
    <xf numFmtId="0" fontId="4" fillId="3" borderId="67" xfId="0" applyFont="1" applyFill="1" applyBorder="1" applyAlignment="1" applyProtection="1">
      <alignment horizontal="center" vertical="center"/>
      <protection hidden="1"/>
    </xf>
    <xf numFmtId="0" fontId="3" fillId="5" borderId="24" xfId="0" applyFont="1" applyFill="1" applyBorder="1" applyAlignment="1" applyProtection="1">
      <alignment horizontal="center" vertical="center"/>
      <protection hidden="1"/>
    </xf>
    <xf numFmtId="166" fontId="4" fillId="3" borderId="17" xfId="0" applyNumberFormat="1" applyFont="1" applyFill="1" applyBorder="1" applyAlignment="1" applyProtection="1">
      <alignment horizontal="center" vertical="center"/>
      <protection hidden="1"/>
    </xf>
    <xf numFmtId="0" fontId="3" fillId="5" borderId="25" xfId="0" applyFont="1" applyFill="1" applyBorder="1" applyAlignment="1" applyProtection="1">
      <alignment horizontal="center" vertical="center"/>
      <protection hidden="1"/>
    </xf>
    <xf numFmtId="0" fontId="3" fillId="5" borderId="6" xfId="0" applyFont="1" applyFill="1" applyBorder="1" applyAlignment="1" applyProtection="1">
      <alignment horizontal="center" vertical="center"/>
      <protection hidden="1"/>
    </xf>
    <xf numFmtId="166" fontId="4" fillId="3" borderId="2" xfId="0" applyNumberFormat="1" applyFont="1" applyFill="1" applyBorder="1" applyAlignment="1" applyProtection="1">
      <alignment horizontal="center" vertical="center"/>
      <protection hidden="1"/>
    </xf>
    <xf numFmtId="0" fontId="1" fillId="2" borderId="11" xfId="0" applyFont="1" applyFill="1" applyBorder="1" applyAlignment="1" applyProtection="1">
      <alignment horizontal="left" vertical="top" wrapText="1"/>
      <protection locked="0"/>
    </xf>
    <xf numFmtId="0" fontId="1" fillId="2" borderId="11" xfId="0" applyFont="1" applyFill="1" applyBorder="1" applyAlignment="1" applyProtection="1">
      <alignment vertical="center" wrapText="1"/>
      <protection locked="0"/>
    </xf>
    <xf numFmtId="0" fontId="1" fillId="2" borderId="1" xfId="0" applyFont="1" applyFill="1" applyBorder="1" applyAlignment="1" applyProtection="1">
      <alignment vertical="center" wrapText="1"/>
      <protection locked="0"/>
    </xf>
    <xf numFmtId="0" fontId="1" fillId="2" borderId="30" xfId="0" applyFont="1" applyFill="1" applyBorder="1" applyAlignment="1" applyProtection="1">
      <alignment horizontal="center" vertical="center"/>
      <protection locked="0"/>
    </xf>
    <xf numFmtId="0" fontId="1" fillId="2" borderId="30" xfId="0" applyFont="1" applyFill="1" applyBorder="1" applyAlignment="1" applyProtection="1">
      <alignment vertical="center" wrapText="1"/>
      <protection locked="0"/>
    </xf>
    <xf numFmtId="0" fontId="1" fillId="2" borderId="31" xfId="0" applyFont="1" applyFill="1" applyBorder="1" applyAlignment="1" applyProtection="1">
      <alignment vertical="center" wrapText="1"/>
      <protection locked="0"/>
    </xf>
    <xf numFmtId="0" fontId="18" fillId="2" borderId="0" xfId="0" applyFont="1" applyFill="1" applyAlignment="1" applyProtection="1">
      <alignment horizontal="right" vertical="center"/>
      <protection hidden="1"/>
    </xf>
    <xf numFmtId="0" fontId="29" fillId="2" borderId="0" xfId="0" applyFont="1" applyFill="1" applyAlignment="1" applyProtection="1">
      <alignment vertical="center"/>
      <protection hidden="1"/>
    </xf>
    <xf numFmtId="0" fontId="0" fillId="0" borderId="0" xfId="0" applyAlignment="1" applyProtection="1">
      <alignment vertical="center"/>
      <protection hidden="1"/>
    </xf>
    <xf numFmtId="0" fontId="24" fillId="0" borderId="0" xfId="0" applyFont="1" applyAlignment="1" applyProtection="1">
      <alignment horizontal="center" vertical="center"/>
      <protection hidden="1"/>
    </xf>
    <xf numFmtId="0" fontId="5" fillId="0" borderId="0" xfId="0" applyFont="1" applyAlignment="1" applyProtection="1">
      <alignment horizontal="left" vertical="center"/>
      <protection hidden="1"/>
    </xf>
    <xf numFmtId="0" fontId="1" fillId="0" borderId="0" xfId="0" applyFont="1" applyAlignment="1" applyProtection="1">
      <alignment vertical="center"/>
      <protection hidden="1"/>
    </xf>
    <xf numFmtId="0" fontId="12" fillId="0" borderId="0" xfId="0" applyFont="1" applyAlignment="1" applyProtection="1">
      <alignment vertical="center"/>
      <protection hidden="1"/>
    </xf>
    <xf numFmtId="0" fontId="24" fillId="11" borderId="1" xfId="0" applyFont="1" applyFill="1" applyBorder="1" applyAlignment="1" applyProtection="1">
      <alignment horizontal="center" vertical="center"/>
      <protection hidden="1"/>
    </xf>
    <xf numFmtId="0" fontId="24" fillId="22" borderId="1" xfId="0" applyFont="1" applyFill="1" applyBorder="1" applyAlignment="1" applyProtection="1">
      <alignment horizontal="center" vertical="center"/>
      <protection locked="0"/>
    </xf>
    <xf numFmtId="0" fontId="24" fillId="16" borderId="1" xfId="0" applyFont="1" applyFill="1" applyBorder="1" applyAlignment="1" applyProtection="1">
      <alignment horizontal="center" vertical="center"/>
      <protection hidden="1"/>
    </xf>
    <xf numFmtId="0" fontId="24" fillId="6" borderId="1" xfId="0" applyFont="1" applyFill="1" applyBorder="1" applyAlignment="1" applyProtection="1">
      <alignment horizontal="center"/>
      <protection hidden="1"/>
    </xf>
    <xf numFmtId="0" fontId="24" fillId="7" borderId="1" xfId="0" applyFont="1" applyFill="1" applyBorder="1" applyAlignment="1" applyProtection="1">
      <alignment horizontal="center"/>
      <protection hidden="1"/>
    </xf>
    <xf numFmtId="0" fontId="24" fillId="8" borderId="1" xfId="0" applyFont="1" applyFill="1" applyBorder="1" applyAlignment="1" applyProtection="1">
      <alignment horizontal="center"/>
      <protection hidden="1"/>
    </xf>
    <xf numFmtId="0" fontId="19" fillId="2" borderId="0" xfId="0" applyFont="1" applyFill="1" applyAlignment="1" applyProtection="1">
      <alignment horizontal="right" vertical="center"/>
      <protection hidden="1"/>
    </xf>
    <xf numFmtId="167" fontId="19" fillId="2" borderId="0" xfId="0" applyNumberFormat="1" applyFont="1" applyFill="1" applyAlignment="1" applyProtection="1">
      <alignment horizontal="left" vertical="center"/>
      <protection hidden="1"/>
    </xf>
    <xf numFmtId="0" fontId="30" fillId="2" borderId="0" xfId="0" applyFont="1" applyFill="1" applyAlignment="1" applyProtection="1">
      <alignment vertical="center"/>
      <protection hidden="1"/>
    </xf>
    <xf numFmtId="0" fontId="19" fillId="2" borderId="52" xfId="0" applyFont="1" applyFill="1" applyBorder="1" applyAlignment="1" applyProtection="1">
      <alignment horizontal="center" vertical="center" wrapText="1"/>
      <protection locked="0"/>
    </xf>
    <xf numFmtId="0" fontId="19" fillId="2" borderId="55" xfId="0" applyFont="1" applyFill="1" applyBorder="1" applyAlignment="1" applyProtection="1">
      <alignment horizontal="center" vertical="center"/>
      <protection locked="0"/>
    </xf>
    <xf numFmtId="0" fontId="19" fillId="2" borderId="53" xfId="0" applyFont="1" applyFill="1" applyBorder="1" applyAlignment="1" applyProtection="1">
      <alignment horizontal="center" vertical="center"/>
      <protection locked="0"/>
    </xf>
    <xf numFmtId="0" fontId="10" fillId="2" borderId="18" xfId="0" applyFont="1" applyFill="1" applyBorder="1" applyAlignment="1" applyProtection="1">
      <alignment horizontal="left" vertical="center"/>
      <protection hidden="1"/>
    </xf>
    <xf numFmtId="0" fontId="25" fillId="25" borderId="1" xfId="0" applyFont="1" applyFill="1" applyBorder="1" applyAlignment="1" applyProtection="1">
      <alignment horizontal="center" vertical="center"/>
      <protection hidden="1"/>
    </xf>
    <xf numFmtId="0" fontId="0" fillId="0" borderId="1" xfId="0" applyBorder="1" applyAlignment="1">
      <alignment vertical="center"/>
    </xf>
    <xf numFmtId="0" fontId="10" fillId="2" borderId="3" xfId="0" applyFont="1" applyFill="1" applyBorder="1" applyAlignment="1" applyProtection="1">
      <alignment vertical="center"/>
      <protection hidden="1"/>
    </xf>
    <xf numFmtId="0" fontId="0" fillId="0" borderId="1" xfId="0" applyBorder="1" applyAlignment="1">
      <alignment horizontal="right"/>
    </xf>
    <xf numFmtId="0" fontId="0" fillId="26" borderId="1" xfId="0" applyFill="1" applyBorder="1" applyAlignment="1">
      <alignment vertical="center"/>
    </xf>
    <xf numFmtId="20" fontId="0" fillId="0" borderId="1" xfId="0" applyNumberFormat="1" applyBorder="1" applyAlignment="1">
      <alignment horizontal="center"/>
    </xf>
    <xf numFmtId="0" fontId="25" fillId="26" borderId="24" xfId="0" applyFont="1" applyFill="1" applyBorder="1" applyAlignment="1" applyProtection="1">
      <alignment horizontal="center" vertical="center" wrapText="1"/>
      <protection locked="0"/>
    </xf>
    <xf numFmtId="0" fontId="25" fillId="26" borderId="17" xfId="0" applyFont="1" applyFill="1" applyBorder="1" applyAlignment="1" applyProtection="1">
      <alignment horizontal="center" vertical="center" wrapText="1"/>
      <protection locked="0"/>
    </xf>
    <xf numFmtId="0" fontId="25" fillId="26" borderId="40" xfId="0" applyFont="1" applyFill="1" applyBorder="1" applyAlignment="1" applyProtection="1">
      <alignment horizontal="center" vertical="center" wrapText="1"/>
      <protection locked="0"/>
    </xf>
    <xf numFmtId="0" fontId="25" fillId="26" borderId="25" xfId="0" applyFont="1" applyFill="1" applyBorder="1" applyAlignment="1" applyProtection="1">
      <alignment horizontal="center" vertical="center" wrapText="1"/>
      <protection locked="0"/>
    </xf>
    <xf numFmtId="0" fontId="25" fillId="26" borderId="1" xfId="0" applyFont="1" applyFill="1" applyBorder="1" applyAlignment="1" applyProtection="1">
      <alignment horizontal="center" vertical="center" wrapText="1"/>
      <protection locked="0"/>
    </xf>
    <xf numFmtId="0" fontId="25" fillId="26" borderId="11" xfId="0" applyFont="1" applyFill="1" applyBorder="1" applyAlignment="1" applyProtection="1">
      <alignment horizontal="center" vertical="center" wrapText="1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24" fillId="0" borderId="1" xfId="0" applyFont="1" applyBorder="1" applyAlignment="1" applyProtection="1">
      <alignment horizontal="center" vertical="center"/>
      <protection hidden="1"/>
    </xf>
    <xf numFmtId="0" fontId="27" fillId="0" borderId="1" xfId="0" applyFont="1" applyBorder="1" applyAlignment="1" applyProtection="1">
      <alignment horizontal="center" vertical="center"/>
      <protection hidden="1"/>
    </xf>
    <xf numFmtId="0" fontId="3" fillId="0" borderId="2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>
      <alignment horizontal="right"/>
    </xf>
    <xf numFmtId="0" fontId="1" fillId="0" borderId="1" xfId="0" applyFont="1" applyBorder="1"/>
    <xf numFmtId="0" fontId="31" fillId="0" borderId="1" xfId="2" applyBorder="1"/>
    <xf numFmtId="0" fontId="1" fillId="0" borderId="1" xfId="0" applyFont="1" applyBorder="1" applyAlignment="1">
      <alignment horizontal="right"/>
    </xf>
    <xf numFmtId="0" fontId="3" fillId="26" borderId="1" xfId="0" applyFont="1" applyFill="1" applyBorder="1" applyAlignment="1" applyProtection="1">
      <alignment horizontal="center" vertical="center"/>
      <protection locked="0"/>
    </xf>
    <xf numFmtId="0" fontId="32" fillId="0" borderId="0" xfId="0" applyFont="1"/>
    <xf numFmtId="0" fontId="33" fillId="2" borderId="0" xfId="0" applyFont="1" applyFill="1" applyAlignment="1" applyProtection="1">
      <alignment horizontal="left" vertical="center"/>
      <protection hidden="1"/>
    </xf>
    <xf numFmtId="0" fontId="4" fillId="3" borderId="68" xfId="0" applyFont="1" applyFill="1" applyBorder="1" applyAlignment="1" applyProtection="1">
      <alignment horizontal="center" vertical="center"/>
      <protection hidden="1"/>
    </xf>
    <xf numFmtId="0" fontId="4" fillId="3" borderId="70" xfId="0" applyFont="1" applyFill="1" applyBorder="1" applyAlignment="1" applyProtection="1">
      <alignment horizontal="center" vertical="center"/>
      <protection hidden="1"/>
    </xf>
    <xf numFmtId="49" fontId="4" fillId="3" borderId="71" xfId="0" applyNumberFormat="1" applyFont="1" applyFill="1" applyBorder="1" applyAlignment="1" applyProtection="1">
      <alignment horizontal="center" vertical="center"/>
      <protection hidden="1"/>
    </xf>
    <xf numFmtId="0" fontId="1" fillId="0" borderId="0" xfId="0" applyFont="1"/>
    <xf numFmtId="0" fontId="3" fillId="16" borderId="0" xfId="0" applyFont="1" applyFill="1" applyAlignment="1" applyProtection="1">
      <alignment horizontal="center" vertical="center"/>
      <protection hidden="1"/>
    </xf>
    <xf numFmtId="0" fontId="1" fillId="26" borderId="1" xfId="0" applyFont="1" applyFill="1" applyBorder="1" applyAlignment="1">
      <alignment vertical="center"/>
    </xf>
    <xf numFmtId="0" fontId="0" fillId="2" borderId="0" xfId="0" applyFill="1" applyAlignment="1" applyProtection="1">
      <alignment horizontal="center"/>
      <protection hidden="1"/>
    </xf>
    <xf numFmtId="17" fontId="0" fillId="2" borderId="0" xfId="0" applyNumberFormat="1" applyFill="1" applyAlignment="1" applyProtection="1">
      <alignment horizontal="center"/>
      <protection hidden="1"/>
    </xf>
    <xf numFmtId="0" fontId="0" fillId="2" borderId="69" xfId="0" applyFill="1" applyBorder="1" applyAlignment="1" applyProtection="1">
      <alignment horizontal="center"/>
      <protection hidden="1"/>
    </xf>
    <xf numFmtId="0" fontId="0" fillId="2" borderId="71" xfId="0" applyFill="1" applyBorder="1" applyAlignment="1" applyProtection="1">
      <alignment horizontal="center"/>
      <protection hidden="1"/>
    </xf>
    <xf numFmtId="49" fontId="0" fillId="2" borderId="0" xfId="0" applyNumberFormat="1" applyFill="1" applyAlignment="1" applyProtection="1">
      <alignment horizontal="center"/>
      <protection hidden="1"/>
    </xf>
    <xf numFmtId="0" fontId="4" fillId="3" borderId="71" xfId="0" applyFont="1" applyFill="1" applyBorder="1" applyAlignment="1" applyProtection="1">
      <alignment horizontal="center" vertical="center"/>
      <protection hidden="1"/>
    </xf>
    <xf numFmtId="0" fontId="34" fillId="0" borderId="0" xfId="0" applyFont="1"/>
    <xf numFmtId="168" fontId="4" fillId="3" borderId="70" xfId="0" applyNumberFormat="1" applyFont="1" applyFill="1" applyBorder="1" applyAlignment="1" applyProtection="1">
      <alignment horizontal="center" vertical="center"/>
      <protection hidden="1"/>
    </xf>
    <xf numFmtId="168" fontId="0" fillId="2" borderId="71" xfId="0" applyNumberFormat="1" applyFill="1" applyBorder="1" applyAlignment="1" applyProtection="1">
      <alignment horizontal="center"/>
      <protection hidden="1"/>
    </xf>
    <xf numFmtId="0" fontId="35" fillId="0" borderId="1" xfId="0" applyFont="1" applyBorder="1" applyAlignment="1" applyProtection="1">
      <alignment horizontal="center" vertical="center"/>
      <protection locked="0"/>
    </xf>
    <xf numFmtId="3" fontId="0" fillId="2" borderId="0" xfId="0" applyNumberFormat="1" applyFill="1" applyProtection="1">
      <protection hidden="1"/>
    </xf>
    <xf numFmtId="0" fontId="31" fillId="0" borderId="1" xfId="2" applyBorder="1" applyAlignment="1">
      <alignment horizontal="right" vertical="center"/>
    </xf>
    <xf numFmtId="0" fontId="0" fillId="0" borderId="45" xfId="0" applyBorder="1" applyAlignment="1">
      <alignment horizontal="right"/>
    </xf>
    <xf numFmtId="20" fontId="0" fillId="0" borderId="45" xfId="0" applyNumberFormat="1" applyBorder="1" applyAlignment="1">
      <alignment horizontal="center"/>
    </xf>
    <xf numFmtId="0" fontId="36" fillId="2" borderId="69" xfId="0" applyFont="1" applyFill="1" applyBorder="1" applyAlignment="1" applyProtection="1">
      <alignment horizontal="center" vertical="center"/>
      <protection locked="0"/>
    </xf>
    <xf numFmtId="0" fontId="36" fillId="2" borderId="0" xfId="0" applyFont="1" applyFill="1" applyAlignment="1" applyProtection="1">
      <alignment horizontal="center"/>
      <protection locked="0"/>
    </xf>
    <xf numFmtId="17" fontId="36" fillId="2" borderId="0" xfId="0" applyNumberFormat="1" applyFont="1" applyFill="1" applyAlignment="1" applyProtection="1">
      <alignment horizontal="center" vertical="center"/>
      <protection locked="0"/>
    </xf>
    <xf numFmtId="0" fontId="36" fillId="2" borderId="71" xfId="0" applyFont="1" applyFill="1" applyBorder="1" applyAlignment="1" applyProtection="1">
      <alignment horizontal="center" vertical="center"/>
      <protection locked="0"/>
    </xf>
    <xf numFmtId="168" fontId="36" fillId="2" borderId="71" xfId="0" applyNumberFormat="1" applyFont="1" applyFill="1" applyBorder="1" applyAlignment="1" applyProtection="1">
      <alignment horizontal="center" vertical="center"/>
      <protection locked="0"/>
    </xf>
    <xf numFmtId="0" fontId="36" fillId="2" borderId="72" xfId="0" applyFont="1" applyFill="1" applyBorder="1" applyAlignment="1" applyProtection="1">
      <alignment horizontal="center" vertical="center"/>
      <protection locked="0"/>
    </xf>
    <xf numFmtId="0" fontId="36" fillId="2" borderId="0" xfId="0" applyFont="1" applyFill="1" applyAlignment="1" applyProtection="1">
      <alignment horizontal="center" vertical="center"/>
      <protection locked="0"/>
    </xf>
    <xf numFmtId="49" fontId="36" fillId="2" borderId="71" xfId="0" applyNumberFormat="1" applyFont="1" applyFill="1" applyBorder="1" applyAlignment="1" applyProtection="1">
      <alignment horizontal="center" vertical="center"/>
      <protection locked="0"/>
    </xf>
    <xf numFmtId="14" fontId="0" fillId="2" borderId="24" xfId="0" applyNumberFormat="1" applyFill="1" applyBorder="1" applyAlignment="1" applyProtection="1">
      <alignment horizontal="center" vertical="center"/>
      <protection locked="0"/>
    </xf>
    <xf numFmtId="0" fontId="3" fillId="2" borderId="36" xfId="0" applyFont="1" applyFill="1" applyBorder="1" applyAlignment="1" applyProtection="1">
      <alignment horizontal="center" vertical="center"/>
      <protection hidden="1"/>
    </xf>
    <xf numFmtId="0" fontId="1" fillId="2" borderId="0" xfId="0" applyFont="1" applyFill="1" applyAlignment="1" applyProtection="1">
      <alignment horizontal="center"/>
      <protection hidden="1"/>
    </xf>
    <xf numFmtId="14" fontId="3" fillId="2" borderId="0" xfId="0" applyNumberFormat="1" applyFont="1" applyFill="1" applyAlignment="1" applyProtection="1">
      <alignment horizontal="center" vertical="center"/>
      <protection hidden="1"/>
    </xf>
    <xf numFmtId="0" fontId="0" fillId="27" borderId="0" xfId="0" applyFill="1"/>
    <xf numFmtId="0" fontId="4" fillId="3" borderId="15" xfId="0" applyFont="1" applyFill="1" applyBorder="1" applyAlignment="1" applyProtection="1">
      <alignment horizontal="center" vertical="center"/>
      <protection hidden="1"/>
    </xf>
    <xf numFmtId="0" fontId="36" fillId="2" borderId="69" xfId="0" applyFont="1" applyFill="1" applyBorder="1" applyAlignment="1" applyProtection="1">
      <alignment horizontal="center"/>
      <protection locked="0"/>
    </xf>
    <xf numFmtId="0" fontId="36" fillId="2" borderId="71" xfId="0" applyFont="1" applyFill="1" applyBorder="1" applyAlignment="1" applyProtection="1">
      <alignment horizontal="center"/>
      <protection locked="0"/>
    </xf>
    <xf numFmtId="168" fontId="36" fillId="2" borderId="71" xfId="0" applyNumberFormat="1" applyFont="1" applyFill="1" applyBorder="1" applyAlignment="1" applyProtection="1">
      <alignment horizontal="center"/>
      <protection locked="0"/>
    </xf>
    <xf numFmtId="0" fontId="36" fillId="2" borderId="72" xfId="0" applyFont="1" applyFill="1" applyBorder="1" applyAlignment="1" applyProtection="1">
      <alignment horizontal="center"/>
      <protection locked="0"/>
    </xf>
    <xf numFmtId="0" fontId="1" fillId="0" borderId="0" xfId="0" applyFont="1" applyAlignment="1">
      <alignment horizontal="right"/>
    </xf>
    <xf numFmtId="168" fontId="36" fillId="2" borderId="69" xfId="0" applyNumberFormat="1" applyFont="1" applyFill="1" applyBorder="1" applyAlignment="1" applyProtection="1">
      <alignment horizontal="center" vertical="center"/>
      <protection locked="0"/>
    </xf>
    <xf numFmtId="0" fontId="3" fillId="0" borderId="1" xfId="0" applyFont="1" applyBorder="1" applyAlignment="1">
      <alignment horizontal="center"/>
    </xf>
    <xf numFmtId="0" fontId="3" fillId="0" borderId="1" xfId="0" applyFont="1" applyBorder="1" applyAlignment="1">
      <alignment horizontal="right" vertical="center"/>
    </xf>
    <xf numFmtId="0" fontId="0" fillId="26" borderId="1" xfId="0" applyFill="1" applyBorder="1" applyAlignment="1">
      <alignment horizontal="center"/>
    </xf>
    <xf numFmtId="0" fontId="4" fillId="10" borderId="38" xfId="0" applyFont="1" applyFill="1" applyBorder="1" applyAlignment="1" applyProtection="1">
      <alignment horizontal="right" vertical="center" indent="3"/>
      <protection hidden="1"/>
    </xf>
    <xf numFmtId="0" fontId="4" fillId="10" borderId="26" xfId="0" applyFont="1" applyFill="1" applyBorder="1" applyAlignment="1" applyProtection="1">
      <alignment horizontal="right" vertical="center" indent="3"/>
      <protection hidden="1"/>
    </xf>
    <xf numFmtId="164" fontId="4" fillId="10" borderId="26" xfId="0" applyNumberFormat="1" applyFont="1" applyFill="1" applyBorder="1" applyAlignment="1" applyProtection="1">
      <alignment horizontal="center" vertical="center"/>
      <protection hidden="1"/>
    </xf>
    <xf numFmtId="164" fontId="4" fillId="10" borderId="39" xfId="0" applyNumberFormat="1" applyFont="1" applyFill="1" applyBorder="1" applyAlignment="1" applyProtection="1">
      <alignment horizontal="center" vertical="center"/>
      <protection hidden="1"/>
    </xf>
    <xf numFmtId="0" fontId="4" fillId="9" borderId="38" xfId="0" applyFont="1" applyFill="1" applyBorder="1" applyAlignment="1" applyProtection="1">
      <alignment horizontal="right" vertical="center" indent="3"/>
      <protection hidden="1"/>
    </xf>
    <xf numFmtId="0" fontId="4" fillId="9" borderId="26" xfId="0" applyFont="1" applyFill="1" applyBorder="1" applyAlignment="1" applyProtection="1">
      <alignment horizontal="right" vertical="center" indent="3"/>
      <protection hidden="1"/>
    </xf>
    <xf numFmtId="164" fontId="4" fillId="6" borderId="26" xfId="0" applyNumberFormat="1" applyFont="1" applyFill="1" applyBorder="1" applyAlignment="1" applyProtection="1">
      <alignment horizontal="center" vertical="center"/>
      <protection hidden="1"/>
    </xf>
    <xf numFmtId="164" fontId="4" fillId="7" borderId="26" xfId="0" applyNumberFormat="1" applyFont="1" applyFill="1" applyBorder="1" applyAlignment="1" applyProtection="1">
      <alignment horizontal="center" vertical="center"/>
      <protection hidden="1"/>
    </xf>
    <xf numFmtId="164" fontId="4" fillId="7" borderId="39" xfId="0" applyNumberFormat="1" applyFont="1" applyFill="1" applyBorder="1" applyAlignment="1" applyProtection="1">
      <alignment horizontal="center" vertical="center"/>
      <protection hidden="1"/>
    </xf>
    <xf numFmtId="164" fontId="4" fillId="6" borderId="39" xfId="0" applyNumberFormat="1" applyFont="1" applyFill="1" applyBorder="1" applyAlignment="1" applyProtection="1">
      <alignment horizontal="center" vertical="center"/>
      <protection hidden="1"/>
    </xf>
    <xf numFmtId="164" fontId="3" fillId="4" borderId="34" xfId="0" applyNumberFormat="1" applyFont="1" applyFill="1" applyBorder="1" applyAlignment="1" applyProtection="1">
      <alignment horizontal="center" vertical="center"/>
      <protection hidden="1"/>
    </xf>
    <xf numFmtId="164" fontId="3" fillId="4" borderId="33" xfId="0" applyNumberFormat="1" applyFont="1" applyFill="1" applyBorder="1" applyAlignment="1" applyProtection="1">
      <alignment horizontal="center" vertical="center"/>
      <protection hidden="1"/>
    </xf>
    <xf numFmtId="0" fontId="4" fillId="3" borderId="52" xfId="0" applyFont="1" applyFill="1" applyBorder="1" applyAlignment="1" applyProtection="1">
      <alignment horizontal="center" vertical="center"/>
      <protection hidden="1"/>
    </xf>
    <xf numFmtId="0" fontId="4" fillId="3" borderId="55" xfId="0" applyFont="1" applyFill="1" applyBorder="1" applyAlignment="1" applyProtection="1">
      <alignment horizontal="center" vertical="center"/>
      <protection hidden="1"/>
    </xf>
    <xf numFmtId="164" fontId="3" fillId="4" borderId="54" xfId="0" applyNumberFormat="1" applyFont="1" applyFill="1" applyBorder="1" applyAlignment="1" applyProtection="1">
      <alignment horizontal="center" vertical="center"/>
      <protection hidden="1"/>
    </xf>
    <xf numFmtId="0" fontId="4" fillId="7" borderId="38" xfId="0" applyFont="1" applyFill="1" applyBorder="1" applyAlignment="1" applyProtection="1">
      <alignment horizontal="right" vertical="center" indent="3"/>
      <protection hidden="1"/>
    </xf>
    <xf numFmtId="0" fontId="4" fillId="7" borderId="26" xfId="0" applyFont="1" applyFill="1" applyBorder="1" applyAlignment="1" applyProtection="1">
      <alignment horizontal="right" vertical="center" indent="3"/>
      <protection hidden="1"/>
    </xf>
    <xf numFmtId="0" fontId="8" fillId="2" borderId="3" xfId="0" applyFont="1" applyFill="1" applyBorder="1" applyAlignment="1" applyProtection="1">
      <alignment horizontal="center"/>
      <protection hidden="1"/>
    </xf>
    <xf numFmtId="0" fontId="4" fillId="6" borderId="38" xfId="0" applyFont="1" applyFill="1" applyBorder="1" applyAlignment="1" applyProtection="1">
      <alignment horizontal="right" vertical="center" indent="3"/>
      <protection hidden="1"/>
    </xf>
    <xf numFmtId="0" fontId="4" fillId="6" borderId="26" xfId="0" applyFont="1" applyFill="1" applyBorder="1" applyAlignment="1" applyProtection="1">
      <alignment horizontal="right" vertical="center" indent="3"/>
      <protection hidden="1"/>
    </xf>
    <xf numFmtId="0" fontId="4" fillId="3" borderId="13" xfId="0" applyFont="1" applyFill="1" applyBorder="1" applyAlignment="1" applyProtection="1">
      <alignment horizontal="center" vertical="center"/>
      <protection hidden="1"/>
    </xf>
    <xf numFmtId="0" fontId="4" fillId="3" borderId="15" xfId="0" applyFont="1" applyFill="1" applyBorder="1" applyAlignment="1" applyProtection="1">
      <alignment horizontal="center" vertical="center"/>
      <protection hidden="1"/>
    </xf>
    <xf numFmtId="165" fontId="17" fillId="3" borderId="49" xfId="0" applyNumberFormat="1" applyFont="1" applyFill="1" applyBorder="1" applyAlignment="1" applyProtection="1">
      <alignment horizontal="center" vertical="center"/>
      <protection locked="0"/>
    </xf>
    <xf numFmtId="165" fontId="17" fillId="3" borderId="50" xfId="0" applyNumberFormat="1" applyFont="1" applyFill="1" applyBorder="1" applyAlignment="1" applyProtection="1">
      <alignment horizontal="center" vertical="center"/>
      <protection locked="0"/>
    </xf>
    <xf numFmtId="165" fontId="17" fillId="3" borderId="60" xfId="0" applyNumberFormat="1" applyFont="1" applyFill="1" applyBorder="1" applyAlignment="1" applyProtection="1">
      <alignment horizontal="center" vertical="center"/>
      <protection locked="0"/>
    </xf>
    <xf numFmtId="0" fontId="10" fillId="2" borderId="7" xfId="0" applyFont="1" applyFill="1" applyBorder="1" applyAlignment="1" applyProtection="1">
      <alignment horizontal="center" vertical="center"/>
      <protection hidden="1"/>
    </xf>
    <xf numFmtId="0" fontId="10" fillId="2" borderId="59" xfId="0" applyFont="1" applyFill="1" applyBorder="1" applyAlignment="1" applyProtection="1">
      <alignment horizontal="center" vertical="center"/>
      <protection hidden="1"/>
    </xf>
    <xf numFmtId="0" fontId="4" fillId="3" borderId="24" xfId="0" applyFont="1" applyFill="1" applyBorder="1" applyAlignment="1" applyProtection="1">
      <alignment horizontal="center" vertical="center"/>
      <protection hidden="1"/>
    </xf>
    <xf numFmtId="0" fontId="4" fillId="3" borderId="17" xfId="0" applyFont="1" applyFill="1" applyBorder="1" applyAlignment="1" applyProtection="1">
      <alignment horizontal="center" vertical="center"/>
      <protection hidden="1"/>
    </xf>
    <xf numFmtId="0" fontId="4" fillId="3" borderId="40" xfId="0" applyFont="1" applyFill="1" applyBorder="1" applyAlignment="1" applyProtection="1">
      <alignment horizontal="center" vertical="center"/>
      <protection hidden="1"/>
    </xf>
    <xf numFmtId="0" fontId="0" fillId="2" borderId="3" xfId="0" applyFill="1" applyBorder="1" applyAlignment="1" applyProtection="1">
      <alignment horizontal="center"/>
      <protection locked="0" hidden="1"/>
    </xf>
    <xf numFmtId="0" fontId="10" fillId="2" borderId="3" xfId="0" applyFont="1" applyFill="1" applyBorder="1" applyAlignment="1" applyProtection="1">
      <alignment horizontal="center" vertical="center"/>
      <protection hidden="1"/>
    </xf>
    <xf numFmtId="0" fontId="10" fillId="2" borderId="61" xfId="0" applyFont="1" applyFill="1" applyBorder="1" applyAlignment="1" applyProtection="1">
      <alignment horizontal="center" vertical="center"/>
      <protection hidden="1"/>
    </xf>
    <xf numFmtId="0" fontId="9" fillId="2" borderId="13" xfId="0" applyFont="1" applyFill="1" applyBorder="1" applyAlignment="1" applyProtection="1">
      <alignment horizontal="left" vertical="center"/>
      <protection hidden="1"/>
    </xf>
    <xf numFmtId="0" fontId="9" fillId="2" borderId="7" xfId="0" applyFont="1" applyFill="1" applyBorder="1" applyAlignment="1" applyProtection="1">
      <alignment horizontal="left" vertical="center"/>
      <protection hidden="1"/>
    </xf>
    <xf numFmtId="0" fontId="9" fillId="2" borderId="15" xfId="0" applyFont="1" applyFill="1" applyBorder="1" applyAlignment="1" applyProtection="1">
      <alignment horizontal="left" vertical="center"/>
      <protection hidden="1"/>
    </xf>
    <xf numFmtId="0" fontId="9" fillId="2" borderId="0" xfId="0" applyFont="1" applyFill="1" applyAlignment="1" applyProtection="1">
      <alignment horizontal="left" vertical="center"/>
      <protection hidden="1"/>
    </xf>
    <xf numFmtId="17" fontId="4" fillId="3" borderId="24" xfId="0" quotePrefix="1" applyNumberFormat="1" applyFont="1" applyFill="1" applyBorder="1" applyAlignment="1" applyProtection="1">
      <alignment horizontal="center" vertical="center"/>
      <protection hidden="1"/>
    </xf>
    <xf numFmtId="9" fontId="3" fillId="5" borderId="38" xfId="0" applyNumberFormat="1" applyFont="1" applyFill="1" applyBorder="1" applyAlignment="1" applyProtection="1">
      <alignment horizontal="center" vertical="center"/>
      <protection hidden="1"/>
    </xf>
    <xf numFmtId="9" fontId="3" fillId="5" borderId="26" xfId="0" applyNumberFormat="1" applyFont="1" applyFill="1" applyBorder="1" applyAlignment="1" applyProtection="1">
      <alignment horizontal="center" vertical="center"/>
      <protection hidden="1"/>
    </xf>
    <xf numFmtId="9" fontId="3" fillId="5" borderId="39" xfId="0" applyNumberFormat="1" applyFont="1" applyFill="1" applyBorder="1" applyAlignment="1" applyProtection="1">
      <alignment horizontal="center" vertical="center"/>
      <protection hidden="1"/>
    </xf>
    <xf numFmtId="0" fontId="28" fillId="2" borderId="13" xfId="0" applyFont="1" applyFill="1" applyBorder="1" applyAlignment="1" applyProtection="1">
      <alignment horizontal="left" vertical="top" wrapText="1"/>
      <protection locked="0"/>
    </xf>
    <xf numFmtId="0" fontId="28" fillId="2" borderId="7" xfId="0" applyFont="1" applyFill="1" applyBorder="1" applyAlignment="1" applyProtection="1">
      <alignment horizontal="left" vertical="top" wrapText="1"/>
      <protection locked="0"/>
    </xf>
    <xf numFmtId="0" fontId="28" fillId="2" borderId="14" xfId="0" applyFont="1" applyFill="1" applyBorder="1" applyAlignment="1" applyProtection="1">
      <alignment horizontal="left" vertical="top" wrapText="1"/>
      <protection locked="0"/>
    </xf>
    <xf numFmtId="0" fontId="28" fillId="2" borderId="15" xfId="0" applyFont="1" applyFill="1" applyBorder="1" applyAlignment="1" applyProtection="1">
      <alignment horizontal="left" vertical="top" wrapText="1"/>
      <protection locked="0"/>
    </xf>
    <xf numFmtId="0" fontId="28" fillId="2" borderId="0" xfId="0" applyFont="1" applyFill="1" applyAlignment="1" applyProtection="1">
      <alignment horizontal="left" vertical="top" wrapText="1"/>
      <protection locked="0"/>
    </xf>
    <xf numFmtId="0" fontId="28" fillId="2" borderId="16" xfId="0" applyFont="1" applyFill="1" applyBorder="1" applyAlignment="1" applyProtection="1">
      <alignment horizontal="left" vertical="top" wrapText="1"/>
      <protection locked="0"/>
    </xf>
    <xf numFmtId="0" fontId="28" fillId="2" borderId="18" xfId="0" applyFont="1" applyFill="1" applyBorder="1" applyAlignment="1" applyProtection="1">
      <alignment horizontal="left" vertical="top" wrapText="1"/>
      <protection locked="0"/>
    </xf>
    <xf numFmtId="0" fontId="28" fillId="2" borderId="3" xfId="0" applyFont="1" applyFill="1" applyBorder="1" applyAlignment="1" applyProtection="1">
      <alignment horizontal="left" vertical="top" wrapText="1"/>
      <protection locked="0"/>
    </xf>
    <xf numFmtId="0" fontId="28" fillId="2" borderId="19" xfId="0" applyFont="1" applyFill="1" applyBorder="1" applyAlignment="1" applyProtection="1">
      <alignment horizontal="left" vertical="top" wrapText="1"/>
      <protection locked="0"/>
    </xf>
    <xf numFmtId="0" fontId="11" fillId="2" borderId="0" xfId="0" applyFont="1" applyFill="1" applyAlignment="1" applyProtection="1">
      <alignment horizontal="left" wrapText="1"/>
      <protection hidden="1"/>
    </xf>
    <xf numFmtId="0" fontId="11" fillId="2" borderId="3" xfId="0" applyFont="1" applyFill="1" applyBorder="1" applyAlignment="1" applyProtection="1">
      <alignment horizontal="left" wrapText="1"/>
      <protection hidden="1"/>
    </xf>
    <xf numFmtId="0" fontId="4" fillId="3" borderId="24" xfId="0" quotePrefix="1" applyFont="1" applyFill="1" applyBorder="1" applyAlignment="1" applyProtection="1">
      <alignment horizontal="center" vertical="center"/>
      <protection hidden="1"/>
    </xf>
    <xf numFmtId="0" fontId="4" fillId="3" borderId="51" xfId="0" applyFont="1" applyFill="1" applyBorder="1" applyAlignment="1" applyProtection="1">
      <alignment horizontal="center" vertical="center"/>
      <protection hidden="1"/>
    </xf>
    <xf numFmtId="0" fontId="4" fillId="3" borderId="44" xfId="0" applyFont="1" applyFill="1" applyBorder="1" applyAlignment="1" applyProtection="1">
      <alignment horizontal="center" vertical="center"/>
      <protection hidden="1"/>
    </xf>
    <xf numFmtId="9" fontId="4" fillId="9" borderId="26" xfId="0" applyNumberFormat="1" applyFont="1" applyFill="1" applyBorder="1" applyAlignment="1" applyProtection="1">
      <alignment horizontal="center" vertical="center"/>
      <protection hidden="1"/>
    </xf>
    <xf numFmtId="9" fontId="4" fillId="9" borderId="39" xfId="0" applyNumberFormat="1" applyFont="1" applyFill="1" applyBorder="1" applyAlignment="1" applyProtection="1">
      <alignment horizontal="center" vertical="center"/>
      <protection hidden="1"/>
    </xf>
    <xf numFmtId="165" fontId="17" fillId="3" borderId="62" xfId="0" applyNumberFormat="1" applyFont="1" applyFill="1" applyBorder="1" applyAlignment="1" applyProtection="1">
      <alignment horizontal="center" vertical="center"/>
      <protection locked="0"/>
    </xf>
    <xf numFmtId="165" fontId="17" fillId="3" borderId="26" xfId="0" applyNumberFormat="1" applyFont="1" applyFill="1" applyBorder="1" applyAlignment="1" applyProtection="1">
      <alignment horizontal="center" vertical="center"/>
      <protection locked="0"/>
    </xf>
    <xf numFmtId="165" fontId="17" fillId="3" borderId="39" xfId="0" applyNumberFormat="1" applyFont="1" applyFill="1" applyBorder="1" applyAlignment="1" applyProtection="1">
      <alignment horizontal="center" vertical="center"/>
      <protection locked="0"/>
    </xf>
    <xf numFmtId="0" fontId="10" fillId="26" borderId="3" xfId="0" applyFont="1" applyFill="1" applyBorder="1" applyAlignment="1" applyProtection="1">
      <alignment horizontal="left" vertical="center"/>
      <protection hidden="1"/>
    </xf>
    <xf numFmtId="0" fontId="13" fillId="2" borderId="0" xfId="0" applyFont="1" applyFill="1" applyAlignment="1" applyProtection="1">
      <alignment horizontal="left" vertical="center"/>
      <protection hidden="1"/>
    </xf>
    <xf numFmtId="0" fontId="4" fillId="3" borderId="38" xfId="0" applyFont="1" applyFill="1" applyBorder="1" applyAlignment="1" applyProtection="1">
      <alignment horizontal="center" vertical="center"/>
      <protection hidden="1"/>
    </xf>
    <xf numFmtId="0" fontId="4" fillId="3" borderId="26" xfId="0" applyFont="1" applyFill="1" applyBorder="1" applyAlignment="1" applyProtection="1">
      <alignment horizontal="center" vertical="center"/>
      <protection hidden="1"/>
    </xf>
    <xf numFmtId="0" fontId="4" fillId="3" borderId="56" xfId="0" applyFont="1" applyFill="1" applyBorder="1" applyAlignment="1" applyProtection="1">
      <alignment horizontal="center" vertical="center"/>
      <protection hidden="1"/>
    </xf>
    <xf numFmtId="0" fontId="4" fillId="3" borderId="57" xfId="0" applyFont="1" applyFill="1" applyBorder="1" applyAlignment="1" applyProtection="1">
      <alignment horizontal="center" vertical="center"/>
      <protection locked="0"/>
    </xf>
    <xf numFmtId="0" fontId="4" fillId="3" borderId="26" xfId="0" applyFont="1" applyFill="1" applyBorder="1" applyAlignment="1" applyProtection="1">
      <alignment horizontal="center" vertical="center"/>
      <protection locked="0"/>
    </xf>
    <xf numFmtId="0" fontId="4" fillId="3" borderId="39" xfId="0" applyFont="1" applyFill="1" applyBorder="1" applyAlignment="1" applyProtection="1">
      <alignment horizontal="center" vertical="center"/>
      <protection locked="0"/>
    </xf>
    <xf numFmtId="17" fontId="4" fillId="3" borderId="38" xfId="0" applyNumberFormat="1" applyFont="1" applyFill="1" applyBorder="1" applyAlignment="1" applyProtection="1">
      <alignment horizontal="center" vertical="center"/>
      <protection hidden="1"/>
    </xf>
    <xf numFmtId="0" fontId="4" fillId="3" borderId="39" xfId="0" applyFont="1" applyFill="1" applyBorder="1" applyAlignment="1" applyProtection="1">
      <alignment horizontal="center" vertical="center"/>
      <protection hidden="1"/>
    </xf>
    <xf numFmtId="0" fontId="4" fillId="3" borderId="53" xfId="0" applyFont="1" applyFill="1" applyBorder="1" applyAlignment="1" applyProtection="1">
      <alignment horizontal="center" vertical="center"/>
      <protection hidden="1"/>
    </xf>
    <xf numFmtId="17" fontId="4" fillId="3" borderId="26" xfId="0" applyNumberFormat="1" applyFont="1" applyFill="1" applyBorder="1" applyAlignment="1" applyProtection="1">
      <alignment horizontal="center" vertical="center"/>
      <protection hidden="1"/>
    </xf>
    <xf numFmtId="17" fontId="4" fillId="3" borderId="39" xfId="0" applyNumberFormat="1" applyFont="1" applyFill="1" applyBorder="1" applyAlignment="1" applyProtection="1">
      <alignment horizontal="center" vertical="center"/>
      <protection hidden="1"/>
    </xf>
    <xf numFmtId="0" fontId="16" fillId="3" borderId="38" xfId="0" applyFont="1" applyFill="1" applyBorder="1" applyAlignment="1" applyProtection="1">
      <alignment horizontal="center" vertical="center"/>
      <protection hidden="1"/>
    </xf>
    <xf numFmtId="0" fontId="16" fillId="3" borderId="39" xfId="0" applyFont="1" applyFill="1" applyBorder="1" applyAlignment="1" applyProtection="1">
      <alignment horizontal="center" vertical="center"/>
      <protection hidden="1"/>
    </xf>
    <xf numFmtId="0" fontId="36" fillId="2" borderId="0" xfId="0" applyNumberFormat="1" applyFont="1" applyFill="1" applyAlignment="1" applyProtection="1">
      <alignment horizontal="center"/>
      <protection locked="0"/>
    </xf>
  </cellXfs>
  <cellStyles count="3">
    <cellStyle name="Hiperlink" xfId="2" builtinId="8"/>
    <cellStyle name="Normal" xfId="0" builtinId="0"/>
    <cellStyle name="Normal 2" xfId="1" xr:uid="{00000000-0005-0000-0000-000001000000}"/>
  </cellStyles>
  <dxfs count="788"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auto="1"/>
      </font>
      <fill>
        <patternFill>
          <bgColor indexed="13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20"/>
        </patternFill>
      </fill>
    </dxf>
    <dxf>
      <font>
        <b/>
        <i val="0"/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20"/>
      </font>
      <fill>
        <patternFill>
          <bgColor indexed="20"/>
        </patternFill>
      </fill>
    </dxf>
    <dxf>
      <font>
        <color rgb="FF339933"/>
      </font>
      <fill>
        <patternFill>
          <bgColor rgb="FF339933"/>
        </patternFill>
      </fill>
    </dxf>
    <dxf>
      <font>
        <color rgb="FF333399"/>
      </font>
      <fill>
        <patternFill>
          <fgColor rgb="FF333399"/>
          <bgColor rgb="FF333399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339933"/>
      </font>
      <fill>
        <patternFill>
          <bgColor rgb="FF339933"/>
        </patternFill>
      </fill>
    </dxf>
    <dxf>
      <font>
        <color rgb="FF333399"/>
      </font>
      <fill>
        <patternFill>
          <fgColor rgb="FF333399"/>
          <bgColor rgb="FF333399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339933"/>
      </font>
      <fill>
        <patternFill>
          <bgColor rgb="FF339933"/>
        </patternFill>
      </fill>
    </dxf>
    <dxf>
      <font>
        <color rgb="FF333399"/>
      </font>
      <fill>
        <patternFill>
          <fgColor rgb="FF333399"/>
          <bgColor rgb="FF333399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8" formatCode="[$-F400]h:mm:ss\ AM/PM"/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 style="thin">
          <color theme="0" tint="-0.14999847407452621"/>
        </right>
        <top/>
        <bottom/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8" formatCode="[$-F400]h:mm:ss\ AM/PM"/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 style="thin">
          <color theme="0" tint="-0.14999847407452621"/>
        </right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family val="2"/>
        <scheme val="none"/>
      </font>
      <fill>
        <patternFill patternType="solid">
          <fgColor indexed="64"/>
          <bgColor indexed="2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medium">
          <color indexed="64"/>
        </top>
        <bottom/>
        <vertical/>
        <horizontal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2" formatCode="mmm/yy"/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medium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2" formatCode="mmm/yy"/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 tint="-0.14999847407452621"/>
        </right>
        <top/>
        <bottom/>
        <vertical/>
        <horizontal/>
      </border>
      <protection locked="0" hidden="0"/>
    </dxf>
    <dxf>
      <border outline="0">
        <left style="medium">
          <color indexed="64"/>
        </left>
        <right style="thin">
          <color indexed="64"/>
        </right>
        <top style="medium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family val="2"/>
        <scheme val="none"/>
      </font>
      <fill>
        <patternFill patternType="solid">
          <fgColor indexed="64"/>
          <bgColor indexed="20"/>
        </patternFill>
      </fill>
      <alignment horizontal="center" vertical="center" textRotation="0" wrapText="0" indent="0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family val="2"/>
        <scheme val="none"/>
      </font>
      <fill>
        <patternFill patternType="solid">
          <fgColor indexed="64"/>
          <bgColor indexed="20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numFmt numFmtId="30" formatCode="@"/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border outline="0">
        <left style="thin">
          <color theme="0" tint="-0.14999847407452621"/>
        </left>
      </border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numFmt numFmtId="168" formatCode="[$-F400]h:mm:ss\ AM/PM"/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numFmt numFmtId="168" formatCode="[$-F400]h:mm:ss\ AM/PM"/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border diagonalUp="0" diagonalDown="0" outline="0">
        <left/>
        <right style="thin">
          <color theme="0" tint="-0.14999847407452621"/>
        </right>
        <top/>
        <bottom/>
      </border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 tint="-0.14999847407452621"/>
        </right>
        <top/>
        <bottom/>
      </border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numFmt numFmtId="22" formatCode="mmm/yy"/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family val="2"/>
        <scheme val="none"/>
      </font>
      <fill>
        <patternFill patternType="solid">
          <fgColor indexed="64"/>
          <bgColor indexed="2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  <protection locked="1" hidden="1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4600A5"/>
      <color rgb="FF00B0F0"/>
      <color rgb="FFFF00FF"/>
      <color rgb="FF00FF00"/>
      <color rgb="FF96363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12" dropStyle="combo" dx="31" fmlaLink="D6" fmlaRange="$F$40:$F$51" noThreeD="1" sel="9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0</xdr:rowOff>
        </xdr:from>
        <xdr:to>
          <xdr:col>6</xdr:col>
          <xdr:colOff>304800</xdr:colOff>
          <xdr:row>6</xdr:row>
          <xdr:rowOff>266700</xdr:rowOff>
        </xdr:to>
        <xdr:sp macro="" textlink="">
          <xdr:nvSpPr>
            <xdr:cNvPr id="1027" name="Drop Dow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323850</xdr:colOff>
          <xdr:row>10</xdr:row>
          <xdr:rowOff>180975</xdr:rowOff>
        </xdr:from>
        <xdr:to>
          <xdr:col>95</xdr:col>
          <xdr:colOff>219075</xdr:colOff>
          <xdr:row>13</xdr:row>
          <xdr:rowOff>238125</xdr:rowOff>
        </xdr:to>
        <xdr:sp macro="" textlink="">
          <xdr:nvSpPr>
            <xdr:cNvPr id="6180" name="Button 36" hidden="1">
              <a:extLst>
                <a:ext uri="{63B3BB69-23CF-44E3-9099-C40C66FF867C}">
                  <a14:compatExt spid="_x0000_s6180"/>
                </a:ext>
                <a:ext uri="{FF2B5EF4-FFF2-40B4-BE49-F238E27FC236}">
                  <a16:creationId xmlns:a16="http://schemas.microsoft.com/office/drawing/2014/main" id="{00000000-0008-0000-0200-00002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Agendar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361950</xdr:colOff>
          <xdr:row>15</xdr:row>
          <xdr:rowOff>19050</xdr:rowOff>
        </xdr:from>
        <xdr:to>
          <xdr:col>95</xdr:col>
          <xdr:colOff>200025</xdr:colOff>
          <xdr:row>18</xdr:row>
          <xdr:rowOff>200025</xdr:rowOff>
        </xdr:to>
        <xdr:sp macro="" textlink="">
          <xdr:nvSpPr>
            <xdr:cNvPr id="6181" name="Button 37" hidden="1">
              <a:extLst>
                <a:ext uri="{63B3BB69-23CF-44E3-9099-C40C66FF867C}">
                  <a14:compatExt spid="_x0000_s6181"/>
                </a:ext>
                <a:ext uri="{FF2B5EF4-FFF2-40B4-BE49-F238E27FC236}">
                  <a16:creationId xmlns:a16="http://schemas.microsoft.com/office/drawing/2014/main" id="{00000000-0008-0000-0200-00002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 agenda</a:t>
              </a:r>
            </a:p>
            <a:p>
              <a:pPr algn="ctr" rtl="0">
                <a:defRPr sz="1000"/>
              </a:pPr>
              <a:endParaRPr lang="pt-BR" sz="16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400050</xdr:colOff>
          <xdr:row>19</xdr:row>
          <xdr:rowOff>209550</xdr:rowOff>
        </xdr:from>
        <xdr:to>
          <xdr:col>95</xdr:col>
          <xdr:colOff>209550</xdr:colOff>
          <xdr:row>22</xdr:row>
          <xdr:rowOff>142875</xdr:rowOff>
        </xdr:to>
        <xdr:sp macro="" textlink="">
          <xdr:nvSpPr>
            <xdr:cNvPr id="6183" name="Button 39" hidden="1">
              <a:extLst>
                <a:ext uri="{63B3BB69-23CF-44E3-9099-C40C66FF867C}">
                  <a14:compatExt spid="_x0000_s6183"/>
                </a:ext>
                <a:ext uri="{FF2B5EF4-FFF2-40B4-BE49-F238E27FC236}">
                  <a16:creationId xmlns:a16="http://schemas.microsoft.com/office/drawing/2014/main" id="{00000000-0008-0000-0200-00002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Remarcar</a:t>
              </a:r>
            </a:p>
            <a:p>
              <a:pPr algn="ctr" rtl="0">
                <a:defRPr sz="1000"/>
              </a:pPr>
              <a:endParaRPr lang="pt-BR" sz="16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Gilberto Strafacci Neto" id="{B7F869E9-74DA-402B-898C-9DFF3F483745}" userId="6a113dcf53f4c3b1" providerId="Windows Live"/>
  <person displayName="Jean Carlos Aires" id="{77447BDE-B836-4837-9305-090181DBFCC5}" userId="S::jaires@practia.global::06566440-a036-4295-b4e3-6838a0ab205e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117A141-E4A0-4639-95A6-FA69B16FB534}" name="agendas" displayName="agendas" ref="A1:M4" totalsRowShown="0" headerRowDxfId="787" dataDxfId="786">
  <autoFilter ref="A1:M4" xr:uid="{7117A141-E4A0-4639-95A6-FA69B16FB534}"/>
  <tableColumns count="13">
    <tableColumn id="1" xr3:uid="{FBBB854A-5433-4827-9F82-8471FD9818B4}" name="Mês" dataDxfId="785"/>
    <tableColumn id="2" xr3:uid="{1C1B8F13-6F9D-45AE-B52F-F78C0D2F6010}" name="CONSULTOR" dataDxfId="784"/>
    <tableColumn id="3" xr3:uid="{89E1FD39-EFDB-4245-9CFD-5E621A6A03CB}" name="HORAS" dataDxfId="783"/>
    <tableColumn id="4" xr3:uid="{EE917D55-8296-4DF8-916C-3C6F2605B6E0}" name="Coluna1" dataDxfId="782"/>
    <tableColumn id="5" xr3:uid="{151D4713-B3C3-47D0-98A3-F6F391D00FF0}" name="TITULO REUNIAO" dataDxfId="781"/>
    <tableColumn id="6" xr3:uid="{A28B0ECC-5A29-4645-A874-72A3B516A56F}" name="DIA" dataDxfId="780"/>
    <tableColumn id="7" xr3:uid="{59C36A55-C74E-4F59-870F-22583A1BC879}" name="Hora inicio" dataDxfId="779"/>
    <tableColumn id="8" xr3:uid="{54650340-83A8-499A-B7D2-29B7D4D20415}" name="Hora fim" dataDxfId="778"/>
    <tableColumn id="9" xr3:uid="{702814EA-CF00-4086-A821-FB7F3CDEFE28}" name="DataInicio" dataDxfId="777"/>
    <tableColumn id="10" xr3:uid="{04241480-D2AB-4242-90F1-06922EBEC690}" name="DataFim" dataDxfId="776"/>
    <tableColumn id="11" xr3:uid="{A1F1D1B1-4108-42D1-AD21-AE661A7120E5}" name="Status" dataDxfId="775"/>
    <tableColumn id="12" xr3:uid="{E8CB5466-9610-47C2-8981-95E383C542E9}" name="Idconsultor" dataDxfId="774"/>
    <tableColumn id="13" xr3:uid="{24463C44-B62A-46D5-9332-C7B2F48F286E}" name="Atividade" dataDxfId="773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469E286-1C52-440D-81AC-C34BF123FE25}" name="Tabela2" displayName="Tabela2" ref="A1:F2" totalsRowShown="0" headerRowDxfId="772" dataDxfId="771" tableBorderDxfId="770">
  <autoFilter ref="A1:F2" xr:uid="{6469E286-1C52-440D-81AC-C34BF123FE25}"/>
  <tableColumns count="6">
    <tableColumn id="1" xr3:uid="{4BAF9795-F01C-4049-A367-11EEA0A6B855}" name="Consultor" dataDxfId="769"/>
    <tableColumn id="6" xr3:uid="{6E763034-A242-4433-B390-1B33A7B8B8EA}" name="Mês" dataDxfId="768"/>
    <tableColumn id="2" xr3:uid="{199EE5BF-F488-440B-8B31-4B67F9868326}" name="Dia" dataDxfId="767"/>
    <tableColumn id="7" xr3:uid="{27C4AAB4-757F-444C-A2E5-5EFC76CE7F66}" name="Hora" dataDxfId="766"/>
    <tableColumn id="3" xr3:uid="{FE8DF4C5-864B-4254-8B17-2B1B9144A8AB}" name="hora inicio" dataDxfId="765"/>
    <tableColumn id="4" xr3:uid="{B6556A26-59BE-49BC-B4FF-CCA3CB1E8DFC}" name="hora fim" dataDxfId="764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22" dT="2022-09-28T15:25:11.26" personId="{B7F869E9-74DA-402B-898C-9DFF3F483745}" id="{23891C75-ECAA-4451-9B92-1383A6053638}">
    <text>Criei uma equipe fictícia para a POC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Q9" dT="2022-10-11T19:20:12.67" personId="{77447BDE-B836-4837-9305-090181DBFCC5}" id="{11C8FD98-9034-40FA-B598-3BC2BBA70B54}">
    <text>Só executar a Macro uma vez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B6" dT="2022-09-28T15:24:51.41" personId="{B7F869E9-74DA-402B-898C-9DFF3F483745}" id="{61AD36CA-AFF4-4277-BA62-FCFD023753AB}">
    <text xml:space="preserve">Precisa criar a lista de atividades com base na agenda. Essa lista deveria servir de base para o agendamento no Google Calendar e/ou Outlook
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trafacci.gilberto@gmail.com" TargetMode="External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2.xml"/><Relationship Id="rId3" Type="http://schemas.openxmlformats.org/officeDocument/2006/relationships/vmlDrawing" Target="../drawings/vmlDrawing3.vml"/><Relationship Id="rId7" Type="http://schemas.openxmlformats.org/officeDocument/2006/relationships/comments" Target="../comments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Relationship Id="rId4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4B2B8-8281-4CFA-A4A5-FF9B806BA548}">
  <sheetPr codeName="Planilha1"/>
  <dimension ref="A1:F26"/>
  <sheetViews>
    <sheetView topLeftCell="A7" zoomScale="110" zoomScaleNormal="110" workbookViewId="0">
      <selection activeCell="E13" sqref="E13"/>
    </sheetView>
  </sheetViews>
  <sheetFormatPr defaultRowHeight="12.75" x14ac:dyDescent="0.2"/>
  <cols>
    <col min="1" max="1" width="48.7109375" bestFit="1" customWidth="1"/>
    <col min="2" max="2" width="15.28515625" bestFit="1" customWidth="1"/>
    <col min="3" max="3" width="26.28515625" bestFit="1" customWidth="1"/>
  </cols>
  <sheetData>
    <row r="1" spans="1:3" x14ac:dyDescent="0.2">
      <c r="A1" t="s">
        <v>67</v>
      </c>
    </row>
    <row r="2" spans="1:3" x14ac:dyDescent="0.2">
      <c r="A2" t="s">
        <v>66</v>
      </c>
    </row>
    <row r="3" spans="1:3" x14ac:dyDescent="0.2">
      <c r="A3" s="197" t="s">
        <v>107</v>
      </c>
    </row>
    <row r="4" spans="1:3" x14ac:dyDescent="0.2">
      <c r="A4" s="240" t="s">
        <v>68</v>
      </c>
      <c r="B4" s="179" t="s">
        <v>63</v>
      </c>
      <c r="C4" s="179" t="s">
        <v>64</v>
      </c>
    </row>
    <row r="5" spans="1:3" x14ac:dyDescent="0.2">
      <c r="A5" s="240"/>
      <c r="B5" s="176" t="s">
        <v>47</v>
      </c>
      <c r="C5" s="176" t="s">
        <v>65</v>
      </c>
    </row>
    <row r="6" spans="1:3" x14ac:dyDescent="0.2">
      <c r="A6" s="240" t="s">
        <v>69</v>
      </c>
      <c r="B6" s="176" t="s">
        <v>70</v>
      </c>
      <c r="C6" s="176" t="s">
        <v>78</v>
      </c>
    </row>
    <row r="7" spans="1:3" x14ac:dyDescent="0.2">
      <c r="A7" s="240"/>
      <c r="B7" s="176" t="s">
        <v>71</v>
      </c>
      <c r="C7" s="176" t="s">
        <v>79</v>
      </c>
    </row>
    <row r="8" spans="1:3" x14ac:dyDescent="0.2">
      <c r="A8" s="240"/>
      <c r="B8" s="204" t="s">
        <v>72</v>
      </c>
      <c r="C8" s="179" t="s">
        <v>80</v>
      </c>
    </row>
    <row r="9" spans="1:3" x14ac:dyDescent="0.2">
      <c r="A9" s="240"/>
      <c r="B9" s="176" t="s">
        <v>73</v>
      </c>
      <c r="C9" s="176" t="s">
        <v>81</v>
      </c>
    </row>
    <row r="10" spans="1:3" x14ac:dyDescent="0.2">
      <c r="A10" s="240"/>
      <c r="B10" s="176" t="s">
        <v>74</v>
      </c>
      <c r="C10" s="176" t="s">
        <v>82</v>
      </c>
    </row>
    <row r="11" spans="1:3" x14ac:dyDescent="0.2">
      <c r="A11" s="240"/>
      <c r="B11" s="176" t="s">
        <v>75</v>
      </c>
      <c r="C11" s="176" t="s">
        <v>83</v>
      </c>
    </row>
    <row r="12" spans="1:3" x14ac:dyDescent="0.2">
      <c r="A12" s="240"/>
      <c r="B12" s="176" t="s">
        <v>77</v>
      </c>
      <c r="C12" s="176" t="s">
        <v>84</v>
      </c>
    </row>
    <row r="13" spans="1:3" x14ac:dyDescent="0.2">
      <c r="A13" s="240"/>
      <c r="B13" s="176" t="s">
        <v>76</v>
      </c>
      <c r="C13" s="176" t="s">
        <v>85</v>
      </c>
    </row>
    <row r="14" spans="1:3" x14ac:dyDescent="0.2">
      <c r="A14" s="192" t="s">
        <v>90</v>
      </c>
      <c r="B14" s="241">
        <f>'Plano Diretor'!B2</f>
        <v>11111</v>
      </c>
      <c r="C14" s="241"/>
    </row>
    <row r="15" spans="1:3" x14ac:dyDescent="0.2">
      <c r="A15" s="192" t="s">
        <v>90</v>
      </c>
      <c r="B15" s="241" t="str">
        <f>'Plano Diretor'!B4</f>
        <v>CLARO BRASIL</v>
      </c>
      <c r="C15" s="241"/>
    </row>
    <row r="17" spans="1:6" x14ac:dyDescent="0.2">
      <c r="A17" s="239" t="s">
        <v>91</v>
      </c>
      <c r="B17" s="239"/>
      <c r="C17" s="239"/>
      <c r="D17" s="239"/>
    </row>
    <row r="18" spans="1:6" x14ac:dyDescent="0.2">
      <c r="A18" s="217" t="s">
        <v>92</v>
      </c>
      <c r="B18" s="218">
        <v>0.375</v>
      </c>
      <c r="C18" s="218">
        <v>0.75</v>
      </c>
      <c r="D18" s="178">
        <v>8</v>
      </c>
      <c r="E18" t="s">
        <v>95</v>
      </c>
    </row>
    <row r="19" spans="1:6" x14ac:dyDescent="0.2">
      <c r="A19" s="178" t="s">
        <v>93</v>
      </c>
      <c r="B19" s="180">
        <v>0.33333333333333331</v>
      </c>
      <c r="C19" s="180">
        <v>0.5</v>
      </c>
      <c r="D19" s="195" t="s">
        <v>124</v>
      </c>
    </row>
    <row r="20" spans="1:6" x14ac:dyDescent="0.2">
      <c r="A20" s="178" t="s">
        <v>94</v>
      </c>
      <c r="B20" s="180">
        <v>0.54166666666666663</v>
      </c>
      <c r="C20" s="180">
        <v>0.70833333333333337</v>
      </c>
      <c r="D20" s="195" t="s">
        <v>127</v>
      </c>
    </row>
    <row r="22" spans="1:6" x14ac:dyDescent="0.2">
      <c r="A22" s="239" t="s">
        <v>106</v>
      </c>
      <c r="B22" s="239"/>
      <c r="C22" s="239"/>
    </row>
    <row r="23" spans="1:6" x14ac:dyDescent="0.2">
      <c r="A23" s="178" t="s">
        <v>44</v>
      </c>
      <c r="B23" s="193" t="s">
        <v>98</v>
      </c>
      <c r="C23" s="216" t="s">
        <v>128</v>
      </c>
      <c r="E23" s="194" t="s">
        <v>105</v>
      </c>
    </row>
    <row r="24" spans="1:6" x14ac:dyDescent="0.2">
      <c r="A24" s="178" t="s">
        <v>99</v>
      </c>
      <c r="B24" s="193" t="s">
        <v>102</v>
      </c>
      <c r="C24" s="216" t="s">
        <v>128</v>
      </c>
    </row>
    <row r="25" spans="1:6" x14ac:dyDescent="0.2">
      <c r="A25" s="195" t="s">
        <v>100</v>
      </c>
      <c r="B25" s="193" t="s">
        <v>103</v>
      </c>
      <c r="C25" s="216" t="s">
        <v>128</v>
      </c>
    </row>
    <row r="26" spans="1:6" x14ac:dyDescent="0.2">
      <c r="A26" s="195" t="s">
        <v>101</v>
      </c>
      <c r="B26" s="193" t="s">
        <v>104</v>
      </c>
      <c r="C26" s="216" t="s">
        <v>128</v>
      </c>
      <c r="F26" s="231"/>
    </row>
  </sheetData>
  <mergeCells count="6">
    <mergeCell ref="A22:C22"/>
    <mergeCell ref="A4:A5"/>
    <mergeCell ref="A6:A13"/>
    <mergeCell ref="B14:C14"/>
    <mergeCell ref="B15:C15"/>
    <mergeCell ref="A17:D17"/>
  </mergeCells>
  <hyperlinks>
    <hyperlink ref="E23" r:id="rId1" xr:uid="{EAE7C4EB-3258-432B-9B47-B73EBB375231}"/>
  </hyperlinks>
  <pageMargins left="0.511811024" right="0.511811024" top="0.78740157499999996" bottom="0.78740157499999996" header="0.31496062000000002" footer="0.31496062000000002"/>
  <pageSetup paperSize="9" orientation="portrait"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BE51"/>
  <sheetViews>
    <sheetView zoomScale="73" zoomScaleNormal="70" zoomScaleSheetLayoutView="82" workbookViewId="0">
      <pane xSplit="11" ySplit="8" topLeftCell="X9" activePane="bottomRight" state="frozen"/>
      <selection pane="topRight" activeCell="L1" sqref="L1"/>
      <selection pane="bottomLeft" activeCell="A9" sqref="A9"/>
      <selection pane="bottomRight" activeCell="C37" sqref="C37"/>
    </sheetView>
  </sheetViews>
  <sheetFormatPr defaultColWidth="11.42578125" defaultRowHeight="12.75" x14ac:dyDescent="0.2"/>
  <cols>
    <col min="1" max="1" width="1.42578125" style="15" customWidth="1"/>
    <col min="2" max="2" width="52.140625" style="15" bestFit="1" customWidth="1"/>
    <col min="3" max="3" width="17.42578125" style="15" bestFit="1" customWidth="1"/>
    <col min="4" max="55" width="4.42578125" style="15" customWidth="1"/>
    <col min="56" max="56" width="1.42578125" style="15" customWidth="1"/>
    <col min="57" max="58" width="11.42578125" style="15" customWidth="1"/>
    <col min="59" max="16384" width="11.42578125" style="15"/>
  </cols>
  <sheetData>
    <row r="1" spans="1:57" ht="9.9499999999999993" customHeight="1" thickBot="1" x14ac:dyDescent="0.25">
      <c r="A1" s="12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4"/>
    </row>
    <row r="2" spans="1:57" ht="25.5" customHeight="1" thickBot="1" x14ac:dyDescent="0.25">
      <c r="A2" s="16"/>
      <c r="B2" s="171">
        <v>11111</v>
      </c>
      <c r="C2" s="275" t="s">
        <v>86</v>
      </c>
      <c r="D2" s="276"/>
      <c r="E2" s="276"/>
      <c r="F2" s="276"/>
      <c r="G2" s="276"/>
      <c r="H2" s="276"/>
      <c r="I2" s="276"/>
      <c r="J2" s="276"/>
      <c r="K2" s="276"/>
      <c r="L2" s="276"/>
      <c r="M2" s="276"/>
      <c r="N2" s="276"/>
      <c r="O2" s="276"/>
      <c r="P2" s="276"/>
      <c r="Q2" s="276"/>
      <c r="R2" s="276"/>
      <c r="S2" s="276"/>
      <c r="T2" s="276"/>
      <c r="U2" s="276"/>
      <c r="V2" s="276"/>
      <c r="W2" s="276"/>
      <c r="X2" s="276"/>
      <c r="Y2" s="276"/>
      <c r="Z2" s="276"/>
      <c r="AA2" s="276"/>
      <c r="AB2" s="276"/>
      <c r="AC2" s="276"/>
      <c r="AD2" s="276"/>
      <c r="AE2" s="276"/>
      <c r="AF2" s="276"/>
      <c r="AG2" s="276"/>
      <c r="AH2" s="276"/>
      <c r="AI2" s="276"/>
      <c r="AJ2" s="276"/>
      <c r="AK2" s="276"/>
      <c r="AL2" s="276"/>
      <c r="AM2" s="276"/>
      <c r="AN2" s="276"/>
      <c r="AO2" s="267" t="s">
        <v>29</v>
      </c>
      <c r="AP2" s="267"/>
      <c r="AQ2" s="267"/>
      <c r="AR2" s="267"/>
      <c r="AS2" s="267"/>
      <c r="AT2" s="268"/>
      <c r="AU2" s="264">
        <v>44832</v>
      </c>
      <c r="AV2" s="265"/>
      <c r="AW2" s="265"/>
      <c r="AX2" s="265"/>
      <c r="AY2" s="265"/>
      <c r="AZ2" s="265"/>
      <c r="BA2" s="265"/>
      <c r="BB2" s="265"/>
      <c r="BC2" s="266"/>
      <c r="BD2" s="17"/>
    </row>
    <row r="3" spans="1:57" ht="12" customHeight="1" thickBot="1" x14ac:dyDescent="0.25">
      <c r="A3" s="16"/>
      <c r="B3" s="172" t="s">
        <v>72</v>
      </c>
      <c r="C3" s="277"/>
      <c r="D3" s="278"/>
      <c r="E3" s="278"/>
      <c r="F3" s="278"/>
      <c r="G3" s="278"/>
      <c r="H3" s="278"/>
      <c r="I3" s="278"/>
      <c r="J3" s="278"/>
      <c r="K3" s="278"/>
      <c r="L3" s="278"/>
      <c r="M3" s="278"/>
      <c r="N3" s="278"/>
      <c r="O3" s="278"/>
      <c r="P3" s="278"/>
      <c r="Q3" s="278"/>
      <c r="R3" s="278"/>
      <c r="S3" s="278"/>
      <c r="T3" s="278"/>
      <c r="U3" s="278"/>
      <c r="V3" s="278"/>
      <c r="W3" s="278"/>
      <c r="X3" s="278"/>
      <c r="Y3" s="278"/>
      <c r="Z3" s="278"/>
      <c r="AA3" s="278"/>
      <c r="AB3" s="278"/>
      <c r="AC3" s="278"/>
      <c r="AD3" s="278"/>
      <c r="AE3" s="278"/>
      <c r="AF3" s="278"/>
      <c r="AG3" s="278"/>
      <c r="AH3" s="278"/>
      <c r="AI3" s="278"/>
      <c r="AJ3" s="278"/>
      <c r="AK3" s="278"/>
      <c r="AL3" s="278"/>
      <c r="AM3" s="278"/>
      <c r="AN3" s="278"/>
      <c r="AO3" s="130"/>
      <c r="AP3" s="130"/>
      <c r="AQ3" s="130"/>
      <c r="AR3" s="130"/>
      <c r="AS3" s="130"/>
      <c r="AT3" s="130"/>
      <c r="AV3" s="130"/>
      <c r="AW3" s="130"/>
      <c r="AX3" s="130"/>
      <c r="BC3" s="17"/>
      <c r="BD3" s="17"/>
    </row>
    <row r="4" spans="1:57" ht="25.5" customHeight="1" thickBot="1" x14ac:dyDescent="0.25">
      <c r="A4" s="16"/>
      <c r="B4" s="173" t="s">
        <v>89</v>
      </c>
      <c r="C4" s="174" t="s">
        <v>87</v>
      </c>
      <c r="D4" s="177"/>
      <c r="E4" s="177"/>
      <c r="F4" s="177"/>
      <c r="G4" s="177"/>
      <c r="H4" s="177"/>
      <c r="I4" s="302" t="s">
        <v>88</v>
      </c>
      <c r="J4" s="302"/>
      <c r="K4" s="302"/>
      <c r="L4" s="302"/>
      <c r="M4" s="302"/>
      <c r="N4" s="302"/>
      <c r="O4" s="302"/>
      <c r="P4" s="302"/>
      <c r="Q4" s="302"/>
      <c r="R4" s="302"/>
      <c r="S4" s="302"/>
      <c r="T4" s="302"/>
      <c r="U4" s="302"/>
      <c r="V4" s="302"/>
      <c r="W4" s="302"/>
      <c r="X4" s="302"/>
      <c r="Y4" s="302"/>
      <c r="Z4" s="177"/>
      <c r="AA4" s="177"/>
      <c r="AB4" s="177"/>
      <c r="AC4" s="177"/>
      <c r="AD4" s="177"/>
      <c r="AE4" s="177"/>
      <c r="AF4" s="177"/>
      <c r="AG4" s="177"/>
      <c r="AH4" s="177"/>
      <c r="AI4" s="177"/>
      <c r="AJ4" s="177"/>
      <c r="AK4" s="177"/>
      <c r="AL4" s="177"/>
      <c r="AM4" s="177"/>
      <c r="AN4" s="177"/>
      <c r="AO4" s="273" t="s">
        <v>37</v>
      </c>
      <c r="AP4" s="273"/>
      <c r="AQ4" s="273"/>
      <c r="AR4" s="273"/>
      <c r="AS4" s="273"/>
      <c r="AT4" s="274"/>
      <c r="AU4" s="299">
        <v>44832</v>
      </c>
      <c r="AV4" s="300"/>
      <c r="AW4" s="300"/>
      <c r="AX4" s="300"/>
      <c r="AY4" s="300"/>
      <c r="AZ4" s="300"/>
      <c r="BA4" s="300"/>
      <c r="BB4" s="300"/>
      <c r="BC4" s="301"/>
      <c r="BD4" s="17"/>
    </row>
    <row r="5" spans="1:57" ht="9.9499999999999993" customHeight="1" thickBot="1" x14ac:dyDescent="0.25">
      <c r="A5" s="16"/>
      <c r="BD5" s="17"/>
    </row>
    <row r="6" spans="1:57" ht="20.25" hidden="1" customHeight="1" thickBot="1" x14ac:dyDescent="0.25">
      <c r="A6" s="16"/>
      <c r="C6" s="24"/>
      <c r="D6" s="272">
        <v>9</v>
      </c>
      <c r="E6" s="272"/>
      <c r="F6" s="272"/>
      <c r="G6" s="272"/>
      <c r="H6" s="272">
        <f>IF(D6=12,1,D6+1)</f>
        <v>10</v>
      </c>
      <c r="I6" s="272"/>
      <c r="J6" s="272"/>
      <c r="K6" s="272"/>
      <c r="L6" s="272">
        <f>IF(H6=12,1,H6+1)</f>
        <v>11</v>
      </c>
      <c r="M6" s="272"/>
      <c r="N6" s="272"/>
      <c r="O6" s="272"/>
      <c r="P6" s="272">
        <f>IF(L6=12,1,L6+1)</f>
        <v>12</v>
      </c>
      <c r="Q6" s="272"/>
      <c r="R6" s="272"/>
      <c r="S6" s="272"/>
      <c r="T6" s="272">
        <f>IF(P6=12,1,P6+1)</f>
        <v>1</v>
      </c>
      <c r="U6" s="272"/>
      <c r="V6" s="272"/>
      <c r="W6" s="272"/>
      <c r="X6" s="272">
        <f>IF(T6=12,1,T6+1)</f>
        <v>2</v>
      </c>
      <c r="Y6" s="272"/>
      <c r="Z6" s="272"/>
      <c r="AA6" s="272"/>
      <c r="AB6" s="272">
        <f>IF(X6=12,1,X6+1)</f>
        <v>3</v>
      </c>
      <c r="AC6" s="272"/>
      <c r="AD6" s="272"/>
      <c r="AE6" s="272"/>
      <c r="AF6" s="272">
        <f>IF(AB6=12,1,AB6+1)</f>
        <v>4</v>
      </c>
      <c r="AG6" s="272"/>
      <c r="AH6" s="272"/>
      <c r="AI6" s="272"/>
      <c r="AJ6" s="272">
        <f>IF(AF6=12,1,AF6+1)</f>
        <v>5</v>
      </c>
      <c r="AK6" s="272"/>
      <c r="AL6" s="272"/>
      <c r="AM6" s="272"/>
      <c r="AN6" s="272">
        <f>IF(AJ6=12,1,AJ6+1)</f>
        <v>6</v>
      </c>
      <c r="AO6" s="272"/>
      <c r="AP6" s="272"/>
      <c r="AQ6" s="272"/>
      <c r="AR6" s="272">
        <f>IF(AN6=12,1,AN6+1)</f>
        <v>7</v>
      </c>
      <c r="AS6" s="272"/>
      <c r="AT6" s="272"/>
      <c r="AU6" s="272"/>
      <c r="AV6" s="272">
        <f>IF(AR6=12,1,AR6+1)</f>
        <v>8</v>
      </c>
      <c r="AW6" s="272"/>
      <c r="AX6" s="272"/>
      <c r="AY6" s="272"/>
      <c r="AZ6" s="272">
        <f>IF(AR6=12,1,AR6+1)</f>
        <v>8</v>
      </c>
      <c r="BA6" s="272"/>
      <c r="BB6" s="272"/>
      <c r="BC6" s="272"/>
      <c r="BD6" s="17"/>
    </row>
    <row r="7" spans="1:57" ht="21" customHeight="1" x14ac:dyDescent="0.2">
      <c r="A7" s="16"/>
      <c r="B7" s="254" t="s">
        <v>1</v>
      </c>
      <c r="C7" s="262" t="s">
        <v>26</v>
      </c>
      <c r="D7" s="269">
        <v>1</v>
      </c>
      <c r="E7" s="270"/>
      <c r="F7" s="270"/>
      <c r="G7" s="271"/>
      <c r="H7" s="269" t="str">
        <f>VLOOKUP(H6,$E$40:$F$51,2,FALSE)</f>
        <v>Outubro</v>
      </c>
      <c r="I7" s="270"/>
      <c r="J7" s="270"/>
      <c r="K7" s="271"/>
      <c r="L7" s="269" t="str">
        <f>VLOOKUP(L6,$E$40:$F$51,2,FALSE)</f>
        <v>Novembro</v>
      </c>
      <c r="M7" s="270"/>
      <c r="N7" s="270"/>
      <c r="O7" s="271"/>
      <c r="P7" s="269" t="str">
        <f>VLOOKUP(P6,$E$40:$F$51,2,FALSE)</f>
        <v>Dezembro</v>
      </c>
      <c r="Q7" s="270"/>
      <c r="R7" s="270"/>
      <c r="S7" s="271"/>
      <c r="T7" s="269" t="str">
        <f>VLOOKUP(T6,$E$40:$F$51,2,FALSE)</f>
        <v>Janeiro</v>
      </c>
      <c r="U7" s="270"/>
      <c r="V7" s="270"/>
      <c r="W7" s="271"/>
      <c r="X7" s="269" t="str">
        <f>VLOOKUP(X6,$E$40:$F$51,2,FALSE)</f>
        <v>Fevereiro</v>
      </c>
      <c r="Y7" s="270"/>
      <c r="Z7" s="270"/>
      <c r="AA7" s="271"/>
      <c r="AB7" s="269" t="str">
        <f>VLOOKUP(AB6,$E$40:$F$51,2,FALSE)</f>
        <v>Março</v>
      </c>
      <c r="AC7" s="270"/>
      <c r="AD7" s="270"/>
      <c r="AE7" s="271"/>
      <c r="AF7" s="269" t="str">
        <f>VLOOKUP(AF6,$E$40:$F$51,2,FALSE)</f>
        <v>Abril</v>
      </c>
      <c r="AG7" s="270"/>
      <c r="AH7" s="270"/>
      <c r="AI7" s="271"/>
      <c r="AJ7" s="295" t="str">
        <f>VLOOKUP(AJ6,$E$40:$F$51,2,FALSE)</f>
        <v>Maio</v>
      </c>
      <c r="AK7" s="270"/>
      <c r="AL7" s="270"/>
      <c r="AM7" s="296"/>
      <c r="AN7" s="269" t="str">
        <f>VLOOKUP(AN6,$E$40:$F$51,2,FALSE)</f>
        <v>Junho</v>
      </c>
      <c r="AO7" s="270"/>
      <c r="AP7" s="270"/>
      <c r="AQ7" s="271"/>
      <c r="AR7" s="269" t="str">
        <f>VLOOKUP(AR6,$E$40:$F$51,2,FALSE)</f>
        <v>Julho</v>
      </c>
      <c r="AS7" s="270"/>
      <c r="AT7" s="270"/>
      <c r="AU7" s="271"/>
      <c r="AV7" s="279" t="s">
        <v>10</v>
      </c>
      <c r="AW7" s="270"/>
      <c r="AX7" s="270"/>
      <c r="AY7" s="271"/>
      <c r="AZ7" s="294" t="s">
        <v>14</v>
      </c>
      <c r="BA7" s="270"/>
      <c r="BB7" s="270"/>
      <c r="BC7" s="271"/>
      <c r="BD7" s="18"/>
    </row>
    <row r="8" spans="1:57" ht="16.5" customHeight="1" thickBot="1" x14ac:dyDescent="0.25">
      <c r="A8" s="16"/>
      <c r="B8" s="255"/>
      <c r="C8" s="263"/>
      <c r="D8" s="99">
        <v>1</v>
      </c>
      <c r="E8" s="100">
        <v>2</v>
      </c>
      <c r="F8" s="100">
        <v>3</v>
      </c>
      <c r="G8" s="101">
        <v>4</v>
      </c>
      <c r="H8" s="99">
        <v>1</v>
      </c>
      <c r="I8" s="100">
        <v>2</v>
      </c>
      <c r="J8" s="100">
        <v>3</v>
      </c>
      <c r="K8" s="101">
        <v>4</v>
      </c>
      <c r="L8" s="99">
        <v>1</v>
      </c>
      <c r="M8" s="100">
        <v>2</v>
      </c>
      <c r="N8" s="100">
        <v>3</v>
      </c>
      <c r="O8" s="101">
        <v>4</v>
      </c>
      <c r="P8" s="99">
        <v>1</v>
      </c>
      <c r="Q8" s="100">
        <v>2</v>
      </c>
      <c r="R8" s="100">
        <v>3</v>
      </c>
      <c r="S8" s="101">
        <v>4</v>
      </c>
      <c r="T8" s="99">
        <v>1</v>
      </c>
      <c r="U8" s="100">
        <v>2</v>
      </c>
      <c r="V8" s="100">
        <v>3</v>
      </c>
      <c r="W8" s="101">
        <v>4</v>
      </c>
      <c r="X8" s="99">
        <v>1</v>
      </c>
      <c r="Y8" s="100">
        <v>2</v>
      </c>
      <c r="Z8" s="100">
        <v>3</v>
      </c>
      <c r="AA8" s="101">
        <v>4</v>
      </c>
      <c r="AB8" s="99">
        <v>1</v>
      </c>
      <c r="AC8" s="100">
        <v>2</v>
      </c>
      <c r="AD8" s="100">
        <v>3</v>
      </c>
      <c r="AE8" s="101">
        <v>4</v>
      </c>
      <c r="AF8" s="99">
        <v>1</v>
      </c>
      <c r="AG8" s="100">
        <v>2</v>
      </c>
      <c r="AH8" s="100">
        <v>3</v>
      </c>
      <c r="AI8" s="101">
        <v>4</v>
      </c>
      <c r="AJ8" s="116">
        <v>1</v>
      </c>
      <c r="AK8" s="100">
        <v>2</v>
      </c>
      <c r="AL8" s="100">
        <v>3</v>
      </c>
      <c r="AM8" s="117">
        <v>4</v>
      </c>
      <c r="AN8" s="99">
        <v>1</v>
      </c>
      <c r="AO8" s="100">
        <v>2</v>
      </c>
      <c r="AP8" s="100">
        <v>3</v>
      </c>
      <c r="AQ8" s="101">
        <v>4</v>
      </c>
      <c r="AR8" s="99">
        <v>1</v>
      </c>
      <c r="AS8" s="100">
        <v>2</v>
      </c>
      <c r="AT8" s="100">
        <v>3</v>
      </c>
      <c r="AU8" s="101">
        <v>4</v>
      </c>
      <c r="AV8" s="99">
        <v>1</v>
      </c>
      <c r="AW8" s="100">
        <v>2</v>
      </c>
      <c r="AX8" s="100">
        <v>3</v>
      </c>
      <c r="AY8" s="101">
        <v>4</v>
      </c>
      <c r="AZ8" s="99">
        <v>1</v>
      </c>
      <c r="BA8" s="100">
        <v>2</v>
      </c>
      <c r="BB8" s="100">
        <v>3</v>
      </c>
      <c r="BC8" s="101">
        <v>4</v>
      </c>
      <c r="BD8" s="17"/>
    </row>
    <row r="9" spans="1:57" s="71" customFormat="1" ht="15" customHeight="1" x14ac:dyDescent="0.2">
      <c r="A9" s="74"/>
      <c r="B9" s="131" t="s">
        <v>54</v>
      </c>
      <c r="C9" s="133" t="s">
        <v>62</v>
      </c>
      <c r="D9" s="181"/>
      <c r="E9" s="182"/>
      <c r="F9" s="182"/>
      <c r="G9" s="183"/>
      <c r="H9" s="118"/>
      <c r="I9" s="119"/>
      <c r="J9" s="119"/>
      <c r="K9" s="120"/>
      <c r="L9" s="118"/>
      <c r="M9" s="119"/>
      <c r="N9" s="119"/>
      <c r="O9" s="120"/>
      <c r="P9" s="118"/>
      <c r="Q9" s="119"/>
      <c r="R9" s="119"/>
      <c r="S9" s="120"/>
      <c r="T9" s="118"/>
      <c r="U9" s="119"/>
      <c r="V9" s="119"/>
      <c r="W9" s="120"/>
      <c r="X9" s="118"/>
      <c r="Y9" s="119"/>
      <c r="Z9" s="119"/>
      <c r="AA9" s="120"/>
      <c r="AB9" s="118"/>
      <c r="AC9" s="119"/>
      <c r="AD9" s="119"/>
      <c r="AE9" s="120"/>
      <c r="AF9" s="118"/>
      <c r="AG9" s="119"/>
      <c r="AH9" s="119"/>
      <c r="AI9" s="120"/>
      <c r="AJ9" s="118"/>
      <c r="AK9" s="119"/>
      <c r="AL9" s="119"/>
      <c r="AM9" s="120"/>
      <c r="AN9" s="118"/>
      <c r="AO9" s="119"/>
      <c r="AP9" s="119"/>
      <c r="AQ9" s="120"/>
      <c r="AR9" s="118"/>
      <c r="AS9" s="119"/>
      <c r="AT9" s="119"/>
      <c r="AU9" s="120"/>
      <c r="AV9" s="118"/>
      <c r="AW9" s="119"/>
      <c r="AX9" s="119"/>
      <c r="AY9" s="120"/>
      <c r="AZ9" s="118"/>
      <c r="BA9" s="119"/>
      <c r="BB9" s="119"/>
      <c r="BC9" s="120"/>
      <c r="BD9" s="94"/>
      <c r="BE9" s="90"/>
    </row>
    <row r="10" spans="1:57" s="71" customFormat="1" ht="15" customHeight="1" x14ac:dyDescent="0.2">
      <c r="A10" s="74"/>
      <c r="B10" s="132" t="s">
        <v>96</v>
      </c>
      <c r="C10" s="105" t="s">
        <v>62</v>
      </c>
      <c r="D10" s="102"/>
      <c r="E10" s="114"/>
      <c r="F10" s="114"/>
      <c r="G10" s="115"/>
      <c r="H10" s="184"/>
      <c r="I10" s="185"/>
      <c r="J10" s="185"/>
      <c r="K10" s="186"/>
      <c r="L10" s="184"/>
      <c r="M10" s="185"/>
      <c r="N10" s="185"/>
      <c r="O10" s="186"/>
      <c r="P10" s="184"/>
      <c r="Q10" s="185"/>
      <c r="R10" s="185"/>
      <c r="S10" s="186"/>
      <c r="T10" s="184"/>
      <c r="U10" s="185"/>
      <c r="V10" s="185"/>
      <c r="W10" s="186"/>
      <c r="X10" s="184"/>
      <c r="Y10" s="185"/>
      <c r="Z10" s="185"/>
      <c r="AA10" s="186"/>
      <c r="AB10" s="184"/>
      <c r="AC10" s="185"/>
      <c r="AD10" s="185"/>
      <c r="AE10" s="186"/>
      <c r="AF10" s="102"/>
      <c r="AG10" s="114"/>
      <c r="AH10" s="114"/>
      <c r="AI10" s="115"/>
      <c r="AJ10" s="102"/>
      <c r="AK10" s="114"/>
      <c r="AL10" s="114"/>
      <c r="AM10" s="115"/>
      <c r="AN10" s="102"/>
      <c r="AO10" s="114"/>
      <c r="AP10" s="114"/>
      <c r="AQ10" s="115"/>
      <c r="AR10" s="102"/>
      <c r="AS10" s="114"/>
      <c r="AT10" s="114"/>
      <c r="AU10" s="115"/>
      <c r="AV10" s="102"/>
      <c r="AW10" s="114"/>
      <c r="AX10" s="114"/>
      <c r="AY10" s="115"/>
      <c r="AZ10" s="102"/>
      <c r="BA10" s="114"/>
      <c r="BB10" s="114"/>
      <c r="BC10" s="115"/>
      <c r="BD10" s="94"/>
      <c r="BE10" s="90"/>
    </row>
    <row r="11" spans="1:57" s="71" customFormat="1" ht="15" customHeight="1" x14ac:dyDescent="0.2">
      <c r="A11" s="74"/>
      <c r="B11" s="132" t="s">
        <v>97</v>
      </c>
      <c r="C11" s="105" t="s">
        <v>62</v>
      </c>
      <c r="D11" s="102"/>
      <c r="E11" s="114"/>
      <c r="F11" s="114"/>
      <c r="G11" s="115"/>
      <c r="H11" s="102"/>
      <c r="I11" s="114"/>
      <c r="J11" s="114"/>
      <c r="K11" s="115"/>
      <c r="L11" s="102"/>
      <c r="M11" s="114"/>
      <c r="N11" s="114"/>
      <c r="O11" s="115"/>
      <c r="P11" s="102"/>
      <c r="Q11" s="114"/>
      <c r="R11" s="114"/>
      <c r="S11" s="115"/>
      <c r="T11" s="102"/>
      <c r="U11" s="114"/>
      <c r="V11" s="114"/>
      <c r="W11" s="115"/>
      <c r="X11" s="102"/>
      <c r="Y11" s="114"/>
      <c r="Z11" s="114"/>
      <c r="AA11" s="115"/>
      <c r="AB11" s="102"/>
      <c r="AC11" s="114"/>
      <c r="AD11" s="114"/>
      <c r="AE11" s="115"/>
      <c r="AF11" s="184"/>
      <c r="AG11" s="185"/>
      <c r="AH11" s="185"/>
      <c r="AI11" s="186"/>
      <c r="AJ11" s="184"/>
      <c r="AK11" s="185"/>
      <c r="AL11" s="185"/>
      <c r="AM11" s="186"/>
      <c r="AN11" s="184"/>
      <c r="AO11" s="185"/>
      <c r="AP11" s="185"/>
      <c r="AQ11" s="186"/>
      <c r="AR11" s="184"/>
      <c r="AS11" s="185"/>
      <c r="AT11" s="185"/>
      <c r="AU11" s="186"/>
      <c r="AV11" s="184"/>
      <c r="AW11" s="185"/>
      <c r="AX11" s="185"/>
      <c r="AY11" s="186"/>
      <c r="AZ11" s="184"/>
      <c r="BA11" s="185"/>
      <c r="BB11" s="185"/>
      <c r="BC11" s="186"/>
      <c r="BD11" s="94"/>
      <c r="BE11" s="90"/>
    </row>
    <row r="12" spans="1:57" s="71" customFormat="1" ht="15" customHeight="1" x14ac:dyDescent="0.2">
      <c r="A12" s="74"/>
      <c r="B12" s="132"/>
      <c r="C12" s="105"/>
      <c r="D12" s="102"/>
      <c r="E12" s="114"/>
      <c r="F12" s="114"/>
      <c r="G12" s="115"/>
      <c r="H12" s="102"/>
      <c r="I12" s="114"/>
      <c r="J12" s="114"/>
      <c r="K12" s="115"/>
      <c r="L12" s="102"/>
      <c r="M12" s="114"/>
      <c r="N12" s="114"/>
      <c r="O12" s="115"/>
      <c r="P12" s="102"/>
      <c r="Q12" s="114"/>
      <c r="R12" s="114"/>
      <c r="S12" s="115"/>
      <c r="T12" s="102"/>
      <c r="U12" s="114"/>
      <c r="V12" s="114"/>
      <c r="W12" s="115"/>
      <c r="X12" s="102"/>
      <c r="Y12" s="114"/>
      <c r="Z12" s="114"/>
      <c r="AA12" s="115"/>
      <c r="AB12" s="102"/>
      <c r="AC12" s="114"/>
      <c r="AD12" s="114"/>
      <c r="AE12" s="115"/>
      <c r="AF12" s="102"/>
      <c r="AG12" s="114"/>
      <c r="AH12" s="114"/>
      <c r="AI12" s="115"/>
      <c r="AJ12" s="102"/>
      <c r="AK12" s="114"/>
      <c r="AL12" s="114"/>
      <c r="AM12" s="115"/>
      <c r="AN12" s="102"/>
      <c r="AO12" s="114"/>
      <c r="AP12" s="114"/>
      <c r="AQ12" s="115"/>
      <c r="AR12" s="102"/>
      <c r="AS12" s="114"/>
      <c r="AT12" s="114"/>
      <c r="AU12" s="115"/>
      <c r="AV12" s="102"/>
      <c r="AW12" s="114"/>
      <c r="AX12" s="114"/>
      <c r="AY12" s="115"/>
      <c r="AZ12" s="102"/>
      <c r="BA12" s="114"/>
      <c r="BB12" s="114"/>
      <c r="BC12" s="115"/>
      <c r="BD12" s="94"/>
      <c r="BE12" s="90"/>
    </row>
    <row r="13" spans="1:57" s="71" customFormat="1" ht="15" customHeight="1" x14ac:dyDescent="0.2">
      <c r="A13" s="74"/>
      <c r="B13" s="132"/>
      <c r="C13" s="105"/>
      <c r="D13" s="102"/>
      <c r="E13" s="114"/>
      <c r="F13" s="114"/>
      <c r="G13" s="115"/>
      <c r="H13" s="102"/>
      <c r="I13" s="114"/>
      <c r="J13" s="114"/>
      <c r="K13" s="115"/>
      <c r="L13" s="102"/>
      <c r="M13" s="114"/>
      <c r="N13" s="114"/>
      <c r="O13" s="115"/>
      <c r="P13" s="102"/>
      <c r="Q13" s="114"/>
      <c r="R13" s="114"/>
      <c r="S13" s="115"/>
      <c r="T13" s="102"/>
      <c r="U13" s="114"/>
      <c r="V13" s="114"/>
      <c r="W13" s="115"/>
      <c r="X13" s="102"/>
      <c r="Y13" s="114"/>
      <c r="Z13" s="114"/>
      <c r="AA13" s="115"/>
      <c r="AB13" s="102"/>
      <c r="AC13" s="114"/>
      <c r="AD13" s="114"/>
      <c r="AE13" s="115"/>
      <c r="AF13" s="102"/>
      <c r="AG13" s="114"/>
      <c r="AH13" s="114"/>
      <c r="AI13" s="115"/>
      <c r="AJ13" s="102"/>
      <c r="AK13" s="114"/>
      <c r="AL13" s="114"/>
      <c r="AM13" s="115"/>
      <c r="AN13" s="102"/>
      <c r="AO13" s="114"/>
      <c r="AP13" s="114"/>
      <c r="AQ13" s="115"/>
      <c r="AR13" s="102"/>
      <c r="AS13" s="114"/>
      <c r="AT13" s="114"/>
      <c r="AU13" s="115"/>
      <c r="AV13" s="102"/>
      <c r="AW13" s="114"/>
      <c r="AX13" s="114"/>
      <c r="AY13" s="115"/>
      <c r="AZ13" s="102"/>
      <c r="BA13" s="114"/>
      <c r="BB13" s="114"/>
      <c r="BC13" s="115"/>
      <c r="BD13" s="94"/>
      <c r="BE13" s="90"/>
    </row>
    <row r="14" spans="1:57" s="71" customFormat="1" ht="15" customHeight="1" x14ac:dyDescent="0.2">
      <c r="A14" s="74"/>
      <c r="B14" s="132"/>
      <c r="C14" s="105"/>
      <c r="D14" s="102"/>
      <c r="E14" s="114"/>
      <c r="F14" s="114"/>
      <c r="G14" s="115"/>
      <c r="H14" s="102"/>
      <c r="I14" s="114"/>
      <c r="J14" s="114"/>
      <c r="K14" s="115"/>
      <c r="L14" s="102"/>
      <c r="M14" s="114"/>
      <c r="N14" s="114"/>
      <c r="O14" s="115"/>
      <c r="P14" s="102"/>
      <c r="Q14" s="114"/>
      <c r="R14" s="114"/>
      <c r="S14" s="115"/>
      <c r="T14" s="102"/>
      <c r="U14" s="114"/>
      <c r="V14" s="114"/>
      <c r="W14" s="115"/>
      <c r="X14" s="102"/>
      <c r="Y14" s="114"/>
      <c r="Z14" s="114"/>
      <c r="AA14" s="115"/>
      <c r="AB14" s="102"/>
      <c r="AC14" s="114"/>
      <c r="AD14" s="114"/>
      <c r="AE14" s="115"/>
      <c r="AF14" s="102"/>
      <c r="AG14" s="114"/>
      <c r="AH14" s="114"/>
      <c r="AI14" s="115"/>
      <c r="AJ14" s="102"/>
      <c r="AK14" s="114"/>
      <c r="AL14" s="114"/>
      <c r="AM14" s="115"/>
      <c r="AN14" s="102"/>
      <c r="AO14" s="114"/>
      <c r="AP14" s="114"/>
      <c r="AQ14" s="115"/>
      <c r="AR14" s="102"/>
      <c r="AS14" s="114"/>
      <c r="AT14" s="114"/>
      <c r="AU14" s="115"/>
      <c r="AV14" s="102"/>
      <c r="AW14" s="114"/>
      <c r="AX14" s="114"/>
      <c r="AY14" s="115"/>
      <c r="AZ14" s="102"/>
      <c r="BA14" s="114"/>
      <c r="BB14" s="114"/>
      <c r="BC14" s="115"/>
      <c r="BD14" s="94"/>
      <c r="BE14" s="90"/>
    </row>
    <row r="15" spans="1:57" s="71" customFormat="1" ht="15" customHeight="1" x14ac:dyDescent="0.2">
      <c r="A15" s="74"/>
      <c r="B15" s="132"/>
      <c r="C15" s="105"/>
      <c r="D15" s="102"/>
      <c r="E15" s="114"/>
      <c r="F15" s="114"/>
      <c r="G15" s="115"/>
      <c r="H15" s="102"/>
      <c r="I15" s="114"/>
      <c r="J15" s="114"/>
      <c r="K15" s="115"/>
      <c r="L15" s="102"/>
      <c r="M15" s="114"/>
      <c r="N15" s="114"/>
      <c r="O15" s="115"/>
      <c r="P15" s="102"/>
      <c r="Q15" s="114"/>
      <c r="R15" s="114"/>
      <c r="S15" s="115"/>
      <c r="T15" s="102"/>
      <c r="U15" s="114"/>
      <c r="V15" s="114"/>
      <c r="W15" s="115"/>
      <c r="X15" s="102"/>
      <c r="Y15" s="114"/>
      <c r="Z15" s="114"/>
      <c r="AA15" s="115"/>
      <c r="AB15" s="102"/>
      <c r="AC15" s="114"/>
      <c r="AD15" s="114"/>
      <c r="AE15" s="115"/>
      <c r="AF15" s="102"/>
      <c r="AG15" s="114"/>
      <c r="AH15" s="114"/>
      <c r="AI15" s="115"/>
      <c r="AJ15" s="102"/>
      <c r="AK15" s="114"/>
      <c r="AL15" s="114"/>
      <c r="AM15" s="115"/>
      <c r="AN15" s="102"/>
      <c r="AO15" s="114"/>
      <c r="AP15" s="114"/>
      <c r="AQ15" s="115"/>
      <c r="AR15" s="102"/>
      <c r="AS15" s="114"/>
      <c r="AT15" s="114"/>
      <c r="AU15" s="115"/>
      <c r="AV15" s="102"/>
      <c r="AW15" s="114"/>
      <c r="AX15" s="114"/>
      <c r="AY15" s="115"/>
      <c r="AZ15" s="102"/>
      <c r="BA15" s="114"/>
      <c r="BB15" s="114"/>
      <c r="BC15" s="115"/>
      <c r="BD15" s="75"/>
    </row>
    <row r="16" spans="1:57" s="71" customFormat="1" ht="15" customHeight="1" x14ac:dyDescent="0.2">
      <c r="A16" s="74"/>
      <c r="B16" s="91"/>
      <c r="C16" s="105"/>
      <c r="D16" s="102"/>
      <c r="E16" s="114"/>
      <c r="F16" s="114"/>
      <c r="G16" s="115"/>
      <c r="H16" s="102"/>
      <c r="I16" s="114"/>
      <c r="J16" s="114"/>
      <c r="K16" s="115"/>
      <c r="L16" s="102"/>
      <c r="M16" s="114"/>
      <c r="N16" s="114"/>
      <c r="O16" s="115"/>
      <c r="P16" s="102"/>
      <c r="Q16" s="114"/>
      <c r="R16" s="114"/>
      <c r="S16" s="115"/>
      <c r="T16" s="102"/>
      <c r="U16" s="114"/>
      <c r="V16" s="114"/>
      <c r="W16" s="115"/>
      <c r="X16" s="102"/>
      <c r="Y16" s="114"/>
      <c r="Z16" s="114"/>
      <c r="AA16" s="115"/>
      <c r="AB16" s="102"/>
      <c r="AC16" s="114"/>
      <c r="AD16" s="114"/>
      <c r="AE16" s="115"/>
      <c r="AF16" s="102"/>
      <c r="AG16" s="114"/>
      <c r="AH16" s="114"/>
      <c r="AI16" s="115"/>
      <c r="AJ16" s="102"/>
      <c r="AK16" s="114"/>
      <c r="AL16" s="114"/>
      <c r="AM16" s="115"/>
      <c r="AN16" s="102"/>
      <c r="AO16" s="114"/>
      <c r="AP16" s="114"/>
      <c r="AQ16" s="115"/>
      <c r="AR16" s="102"/>
      <c r="AS16" s="114"/>
      <c r="AT16" s="114"/>
      <c r="AU16" s="115"/>
      <c r="AV16" s="102"/>
      <c r="AW16" s="114"/>
      <c r="AX16" s="114"/>
      <c r="AY16" s="115"/>
      <c r="AZ16" s="102"/>
      <c r="BA16" s="114"/>
      <c r="BB16" s="114"/>
      <c r="BC16" s="115"/>
      <c r="BD16" s="75"/>
    </row>
    <row r="17" spans="1:56" s="71" customFormat="1" ht="15" customHeight="1" x14ac:dyDescent="0.2">
      <c r="A17" s="74"/>
      <c r="B17" s="132"/>
      <c r="C17" s="105"/>
      <c r="D17" s="102"/>
      <c r="E17" s="114"/>
      <c r="F17" s="114"/>
      <c r="G17" s="115"/>
      <c r="H17" s="102"/>
      <c r="I17" s="114"/>
      <c r="J17" s="114"/>
      <c r="K17" s="115"/>
      <c r="L17" s="102"/>
      <c r="M17" s="114"/>
      <c r="N17" s="114"/>
      <c r="O17" s="115"/>
      <c r="P17" s="102"/>
      <c r="Q17" s="114"/>
      <c r="R17" s="114"/>
      <c r="S17" s="115"/>
      <c r="T17" s="102"/>
      <c r="U17" s="114"/>
      <c r="V17" s="114"/>
      <c r="W17" s="115"/>
      <c r="X17" s="102"/>
      <c r="Y17" s="114"/>
      <c r="Z17" s="114"/>
      <c r="AA17" s="115"/>
      <c r="AB17" s="102"/>
      <c r="AC17" s="114"/>
      <c r="AD17" s="114"/>
      <c r="AE17" s="115"/>
      <c r="AF17" s="102"/>
      <c r="AG17" s="114"/>
      <c r="AH17" s="114"/>
      <c r="AI17" s="115"/>
      <c r="AJ17" s="102"/>
      <c r="AK17" s="114"/>
      <c r="AL17" s="114"/>
      <c r="AM17" s="115"/>
      <c r="AN17" s="102"/>
      <c r="AO17" s="114"/>
      <c r="AP17" s="114"/>
      <c r="AQ17" s="115"/>
      <c r="AR17" s="102"/>
      <c r="AS17" s="114"/>
      <c r="AT17" s="114"/>
      <c r="AU17" s="115"/>
      <c r="AV17" s="102"/>
      <c r="AW17" s="114"/>
      <c r="AX17" s="114"/>
      <c r="AY17" s="115"/>
      <c r="AZ17" s="102"/>
      <c r="BA17" s="114"/>
      <c r="BB17" s="114"/>
      <c r="BC17" s="115"/>
      <c r="BD17" s="75"/>
    </row>
    <row r="18" spans="1:56" s="71" customFormat="1" ht="15" customHeight="1" x14ac:dyDescent="0.2">
      <c r="A18" s="74"/>
      <c r="B18" s="91"/>
      <c r="C18" s="103"/>
      <c r="D18" s="102"/>
      <c r="E18" s="114"/>
      <c r="F18" s="114"/>
      <c r="G18" s="115"/>
      <c r="H18" s="102"/>
      <c r="I18" s="114"/>
      <c r="J18" s="114"/>
      <c r="K18" s="115"/>
      <c r="L18" s="102"/>
      <c r="M18" s="114"/>
      <c r="N18" s="114"/>
      <c r="O18" s="115"/>
      <c r="P18" s="102"/>
      <c r="Q18" s="114"/>
      <c r="R18" s="114"/>
      <c r="S18" s="115"/>
      <c r="T18" s="102"/>
      <c r="U18" s="114"/>
      <c r="V18" s="114"/>
      <c r="W18" s="115"/>
      <c r="X18" s="102"/>
      <c r="Y18" s="114"/>
      <c r="Z18" s="114"/>
      <c r="AA18" s="115"/>
      <c r="AB18" s="102"/>
      <c r="AC18" s="114"/>
      <c r="AD18" s="114"/>
      <c r="AE18" s="115"/>
      <c r="AF18" s="102"/>
      <c r="AG18" s="114"/>
      <c r="AH18" s="114"/>
      <c r="AI18" s="115"/>
      <c r="AJ18" s="102"/>
      <c r="AK18" s="114"/>
      <c r="AL18" s="114"/>
      <c r="AM18" s="115"/>
      <c r="AN18" s="102"/>
      <c r="AO18" s="114"/>
      <c r="AP18" s="114"/>
      <c r="AQ18" s="115"/>
      <c r="AR18" s="102"/>
      <c r="AS18" s="114"/>
      <c r="AT18" s="114"/>
      <c r="AU18" s="115"/>
      <c r="AV18" s="102"/>
      <c r="AW18" s="114"/>
      <c r="AX18" s="114"/>
      <c r="AY18" s="115"/>
      <c r="AZ18" s="102"/>
      <c r="BA18" s="114"/>
      <c r="BB18" s="114"/>
      <c r="BC18" s="115"/>
      <c r="BD18" s="75"/>
    </row>
    <row r="19" spans="1:56" s="71" customFormat="1" ht="15" customHeight="1" x14ac:dyDescent="0.2">
      <c r="A19" s="74"/>
      <c r="B19" s="91"/>
      <c r="C19" s="105"/>
      <c r="D19" s="102"/>
      <c r="E19" s="114"/>
      <c r="F19" s="114"/>
      <c r="G19" s="115"/>
      <c r="H19" s="102"/>
      <c r="I19" s="114"/>
      <c r="J19" s="114"/>
      <c r="K19" s="115"/>
      <c r="L19" s="102"/>
      <c r="M19" s="114"/>
      <c r="N19" s="114"/>
      <c r="O19" s="115"/>
      <c r="P19" s="102"/>
      <c r="Q19" s="114"/>
      <c r="R19" s="114"/>
      <c r="S19" s="115"/>
      <c r="T19" s="102"/>
      <c r="U19" s="114"/>
      <c r="V19" s="114"/>
      <c r="W19" s="115"/>
      <c r="X19" s="102"/>
      <c r="Y19" s="114"/>
      <c r="Z19" s="114"/>
      <c r="AA19" s="115"/>
      <c r="AB19" s="102"/>
      <c r="AC19" s="114"/>
      <c r="AD19" s="114"/>
      <c r="AE19" s="115"/>
      <c r="AF19" s="102"/>
      <c r="AG19" s="114"/>
      <c r="AH19" s="114"/>
      <c r="AI19" s="115"/>
      <c r="AJ19" s="102"/>
      <c r="AK19" s="114"/>
      <c r="AL19" s="114"/>
      <c r="AM19" s="115"/>
      <c r="AN19" s="102"/>
      <c r="AO19" s="114"/>
      <c r="AP19" s="114"/>
      <c r="AQ19" s="115"/>
      <c r="AR19" s="102"/>
      <c r="AS19" s="114"/>
      <c r="AT19" s="114"/>
      <c r="AU19" s="115"/>
      <c r="AV19" s="102"/>
      <c r="AW19" s="114"/>
      <c r="AX19" s="114"/>
      <c r="AY19" s="115"/>
      <c r="AZ19" s="102"/>
      <c r="BA19" s="114"/>
      <c r="BB19" s="114"/>
      <c r="BC19" s="115"/>
      <c r="BD19" s="75"/>
    </row>
    <row r="20" spans="1:56" s="71" customFormat="1" ht="15" customHeight="1" x14ac:dyDescent="0.2">
      <c r="A20" s="74"/>
      <c r="B20" s="91"/>
      <c r="C20" s="105"/>
      <c r="D20" s="102"/>
      <c r="E20" s="114"/>
      <c r="F20" s="114"/>
      <c r="G20" s="115"/>
      <c r="H20" s="102"/>
      <c r="I20" s="114"/>
      <c r="J20" s="114"/>
      <c r="K20" s="115"/>
      <c r="L20" s="102"/>
      <c r="M20" s="114"/>
      <c r="N20" s="114"/>
      <c r="O20" s="115"/>
      <c r="P20" s="102"/>
      <c r="Q20" s="114"/>
      <c r="R20" s="114"/>
      <c r="S20" s="115"/>
      <c r="T20" s="102"/>
      <c r="U20" s="114"/>
      <c r="V20" s="114"/>
      <c r="W20" s="115"/>
      <c r="X20" s="102"/>
      <c r="Y20" s="114"/>
      <c r="Z20" s="114"/>
      <c r="AA20" s="115"/>
      <c r="AB20" s="102"/>
      <c r="AC20" s="114"/>
      <c r="AD20" s="114"/>
      <c r="AE20" s="115"/>
      <c r="AF20" s="102"/>
      <c r="AG20" s="114"/>
      <c r="AH20" s="114"/>
      <c r="AI20" s="115"/>
      <c r="AJ20" s="102"/>
      <c r="AK20" s="114"/>
      <c r="AL20" s="114"/>
      <c r="AM20" s="115"/>
      <c r="AN20" s="102"/>
      <c r="AO20" s="114"/>
      <c r="AP20" s="114"/>
      <c r="AQ20" s="115"/>
      <c r="AR20" s="102"/>
      <c r="AS20" s="114"/>
      <c r="AT20" s="114"/>
      <c r="AU20" s="115"/>
      <c r="AV20" s="102"/>
      <c r="AW20" s="114"/>
      <c r="AX20" s="114"/>
      <c r="AY20" s="115"/>
      <c r="AZ20" s="102"/>
      <c r="BA20" s="114"/>
      <c r="BB20" s="114"/>
      <c r="BC20" s="115"/>
      <c r="BD20" s="75"/>
    </row>
    <row r="21" spans="1:56" s="71" customFormat="1" ht="15" customHeight="1" thickBot="1" x14ac:dyDescent="0.25">
      <c r="A21" s="74"/>
      <c r="B21" s="121"/>
      <c r="C21" s="122"/>
      <c r="D21" s="123"/>
      <c r="E21" s="124"/>
      <c r="F21" s="124"/>
      <c r="G21" s="125"/>
      <c r="H21" s="123"/>
      <c r="I21" s="124"/>
      <c r="J21" s="124"/>
      <c r="K21" s="125"/>
      <c r="L21" s="123"/>
      <c r="M21" s="124"/>
      <c r="N21" s="124"/>
      <c r="O21" s="125"/>
      <c r="P21" s="123"/>
      <c r="Q21" s="124"/>
      <c r="R21" s="124"/>
      <c r="S21" s="125"/>
      <c r="T21" s="123"/>
      <c r="U21" s="124"/>
      <c r="V21" s="124"/>
      <c r="W21" s="125"/>
      <c r="X21" s="123"/>
      <c r="Y21" s="124"/>
      <c r="Z21" s="124"/>
      <c r="AA21" s="125"/>
      <c r="AB21" s="123"/>
      <c r="AC21" s="124"/>
      <c r="AD21" s="124"/>
      <c r="AE21" s="125"/>
      <c r="AF21" s="123"/>
      <c r="AG21" s="124"/>
      <c r="AH21" s="124"/>
      <c r="AI21" s="125"/>
      <c r="AJ21" s="123"/>
      <c r="AK21" s="124"/>
      <c r="AL21" s="124"/>
      <c r="AM21" s="125"/>
      <c r="AN21" s="123"/>
      <c r="AO21" s="124"/>
      <c r="AP21" s="124"/>
      <c r="AQ21" s="125"/>
      <c r="AR21" s="123"/>
      <c r="AS21" s="124"/>
      <c r="AT21" s="124"/>
      <c r="AU21" s="125"/>
      <c r="AV21" s="123"/>
      <c r="AW21" s="124"/>
      <c r="AX21" s="124"/>
      <c r="AY21" s="125"/>
      <c r="AZ21" s="123"/>
      <c r="BA21" s="124"/>
      <c r="BB21" s="124"/>
      <c r="BC21" s="125"/>
      <c r="BD21" s="75"/>
    </row>
    <row r="22" spans="1:56" x14ac:dyDescent="0.2">
      <c r="A22" s="16"/>
      <c r="BD22" s="17"/>
    </row>
    <row r="23" spans="1:56" ht="13.5" thickBot="1" x14ac:dyDescent="0.25">
      <c r="A23" s="16"/>
      <c r="B23" s="4"/>
      <c r="C23" s="4"/>
      <c r="D23" s="259" t="s">
        <v>16</v>
      </c>
      <c r="E23" s="259"/>
      <c r="F23" s="259"/>
      <c r="G23" s="259"/>
      <c r="H23" s="259" t="s">
        <v>22</v>
      </c>
      <c r="I23" s="259"/>
      <c r="J23" s="259"/>
      <c r="K23" s="259"/>
      <c r="BD23" s="17"/>
    </row>
    <row r="24" spans="1:56" ht="14.25" customHeight="1" thickBot="1" x14ac:dyDescent="0.25">
      <c r="A24" s="16"/>
      <c r="B24" s="260" t="s">
        <v>30</v>
      </c>
      <c r="C24" s="261"/>
      <c r="D24" s="248">
        <f>IF('Agenda de Consultoria'!R39=0,"",'Agenda de Consultoria'!R39)</f>
        <v>224</v>
      </c>
      <c r="E24" s="248"/>
      <c r="F24" s="248"/>
      <c r="G24" s="248"/>
      <c r="H24" s="248">
        <f t="shared" ref="H24:H31" si="0">IF(ISERROR(D24/8),"",D24/8)</f>
        <v>28</v>
      </c>
      <c r="I24" s="248"/>
      <c r="J24" s="248"/>
      <c r="K24" s="251"/>
      <c r="M24" s="165" t="s">
        <v>40</v>
      </c>
      <c r="N24" s="110" t="s">
        <v>2</v>
      </c>
      <c r="R24" s="166" t="s">
        <v>41</v>
      </c>
      <c r="S24" s="110" t="s">
        <v>3</v>
      </c>
      <c r="W24" s="167" t="s">
        <v>42</v>
      </c>
      <c r="X24" s="110" t="s">
        <v>17</v>
      </c>
      <c r="BD24" s="17"/>
    </row>
    <row r="25" spans="1:56" ht="14.25" customHeight="1" thickBot="1" x14ac:dyDescent="0.25">
      <c r="A25" s="16"/>
      <c r="B25" s="257" t="s">
        <v>23</v>
      </c>
      <c r="C25" s="258"/>
      <c r="D25" s="249" t="str">
        <f>IF(SUM(D26:G30)=0,"",SUM(D26:G30))</f>
        <v/>
      </c>
      <c r="E25" s="249"/>
      <c r="F25" s="249"/>
      <c r="G25" s="249"/>
      <c r="H25" s="249" t="str">
        <f t="shared" si="0"/>
        <v/>
      </c>
      <c r="I25" s="249"/>
      <c r="J25" s="249"/>
      <c r="K25" s="250"/>
      <c r="BD25" s="17"/>
    </row>
    <row r="26" spans="1:56" ht="14.25" customHeight="1" x14ac:dyDescent="0.2">
      <c r="A26" s="16"/>
      <c r="B26" s="8" t="s">
        <v>36</v>
      </c>
      <c r="C26" s="68" t="s">
        <v>44</v>
      </c>
      <c r="D26" s="253" t="str">
        <f>IF(SUMIF('Relatório de Consultoria'!$C$5:$C$161,C26,'Relatório de Consultoria'!$D$5:$D$161)=0,"",SUMIF('Relatório de Consultoria'!$C$5:$C$161,C26,'Relatório de Consultoria'!$D$5:$D$161))</f>
        <v/>
      </c>
      <c r="E26" s="253"/>
      <c r="F26" s="253"/>
      <c r="G26" s="253"/>
      <c r="H26" s="253" t="str">
        <f t="shared" si="0"/>
        <v/>
      </c>
      <c r="I26" s="253"/>
      <c r="J26" s="253"/>
      <c r="K26" s="256"/>
      <c r="M26" s="292" t="s">
        <v>27</v>
      </c>
      <c r="N26" s="292"/>
      <c r="O26" s="292"/>
      <c r="P26" s="292"/>
      <c r="Q26" s="292"/>
      <c r="R26" s="292"/>
      <c r="S26" s="292"/>
      <c r="T26" s="292"/>
      <c r="U26" s="292"/>
      <c r="V26" s="292"/>
      <c r="W26" s="292"/>
      <c r="X26" s="292"/>
      <c r="Y26" s="292"/>
      <c r="Z26" s="292"/>
      <c r="AA26" s="292"/>
      <c r="AB26" s="292"/>
      <c r="AC26" s="292"/>
      <c r="AD26" s="292"/>
      <c r="AE26" s="292"/>
      <c r="AF26" s="292"/>
      <c r="AG26" s="292"/>
      <c r="AH26" s="292"/>
      <c r="AI26" s="292"/>
      <c r="AJ26" s="292"/>
      <c r="AK26" s="292"/>
      <c r="AL26" s="292"/>
      <c r="AM26" s="292"/>
      <c r="AN26" s="292"/>
      <c r="AO26" s="292"/>
      <c r="AP26" s="292"/>
      <c r="AQ26" s="292"/>
      <c r="AR26" s="292"/>
      <c r="AS26" s="292"/>
      <c r="AT26" s="292"/>
      <c r="AU26" s="292"/>
      <c r="AV26" s="292"/>
      <c r="AW26" s="292"/>
      <c r="AX26" s="292"/>
      <c r="AY26" s="292"/>
      <c r="AZ26" s="292"/>
      <c r="BA26" s="292"/>
      <c r="BB26" s="292"/>
      <c r="BC26" s="292"/>
      <c r="BD26" s="17"/>
    </row>
    <row r="27" spans="1:56" ht="14.25" customHeight="1" thickBot="1" x14ac:dyDescent="0.25">
      <c r="A27" s="16"/>
      <c r="B27" s="9"/>
      <c r="C27" s="69" t="s">
        <v>99</v>
      </c>
      <c r="D27" s="253" t="str">
        <f>IF(SUMIF('Relatório de Consultoria'!$C$5:$C$161,C27,'Relatório de Consultoria'!$D$5:$D$161)=0,"",SUMIF('Relatório de Consultoria'!$C$5:$C$161,C27,'Relatório de Consultoria'!$D$5:$D$161))</f>
        <v/>
      </c>
      <c r="E27" s="253"/>
      <c r="F27" s="253"/>
      <c r="G27" s="253"/>
      <c r="H27" s="253" t="str">
        <f t="shared" si="0"/>
        <v/>
      </c>
      <c r="I27" s="253"/>
      <c r="J27" s="253"/>
      <c r="K27" s="256"/>
      <c r="M27" s="293"/>
      <c r="N27" s="293"/>
      <c r="O27" s="293"/>
      <c r="P27" s="293"/>
      <c r="Q27" s="293"/>
      <c r="R27" s="293"/>
      <c r="S27" s="293"/>
      <c r="T27" s="293"/>
      <c r="U27" s="293"/>
      <c r="V27" s="293"/>
      <c r="W27" s="293"/>
      <c r="X27" s="293"/>
      <c r="Y27" s="293"/>
      <c r="Z27" s="293"/>
      <c r="AA27" s="293"/>
      <c r="AB27" s="293"/>
      <c r="AC27" s="293"/>
      <c r="AD27" s="293"/>
      <c r="AE27" s="293"/>
      <c r="AF27" s="293"/>
      <c r="AG27" s="293"/>
      <c r="AH27" s="293"/>
      <c r="AI27" s="293"/>
      <c r="AJ27" s="293"/>
      <c r="AK27" s="293"/>
      <c r="AL27" s="293"/>
      <c r="AM27" s="293"/>
      <c r="AN27" s="293"/>
      <c r="AO27" s="293"/>
      <c r="AP27" s="293"/>
      <c r="AQ27" s="293"/>
      <c r="AR27" s="293"/>
      <c r="AS27" s="293"/>
      <c r="AT27" s="293"/>
      <c r="AU27" s="293"/>
      <c r="AV27" s="293"/>
      <c r="AW27" s="293"/>
      <c r="AX27" s="293"/>
      <c r="AY27" s="293"/>
      <c r="AZ27" s="293"/>
      <c r="BA27" s="293"/>
      <c r="BB27" s="293"/>
      <c r="BC27" s="293"/>
      <c r="BD27" s="17"/>
    </row>
    <row r="28" spans="1:56" ht="14.25" customHeight="1" x14ac:dyDescent="0.2">
      <c r="A28" s="16"/>
      <c r="B28" s="9"/>
      <c r="C28" s="69" t="s">
        <v>100</v>
      </c>
      <c r="D28" s="253" t="str">
        <f>IF(SUMIF('Relatório de Consultoria'!$C$5:$C$161,C28,'Relatório de Consultoria'!$D$5:$D$161)=0,"",SUMIF('Relatório de Consultoria'!$C$5:$C$161,C28,'Relatório de Consultoria'!$D$5:$D$161))</f>
        <v/>
      </c>
      <c r="E28" s="253"/>
      <c r="F28" s="253"/>
      <c r="G28" s="253"/>
      <c r="H28" s="253" t="str">
        <f t="shared" si="0"/>
        <v/>
      </c>
      <c r="I28" s="253"/>
      <c r="J28" s="253"/>
      <c r="K28" s="256"/>
      <c r="M28" s="283"/>
      <c r="N28" s="284"/>
      <c r="O28" s="284"/>
      <c r="P28" s="284"/>
      <c r="Q28" s="284"/>
      <c r="R28" s="284"/>
      <c r="S28" s="284"/>
      <c r="T28" s="284"/>
      <c r="U28" s="284"/>
      <c r="V28" s="284"/>
      <c r="W28" s="284"/>
      <c r="X28" s="284"/>
      <c r="Y28" s="284"/>
      <c r="Z28" s="284"/>
      <c r="AA28" s="284"/>
      <c r="AB28" s="284"/>
      <c r="AC28" s="284"/>
      <c r="AD28" s="284"/>
      <c r="AE28" s="284"/>
      <c r="AF28" s="284"/>
      <c r="AG28" s="284"/>
      <c r="AH28" s="284"/>
      <c r="AI28" s="284"/>
      <c r="AJ28" s="284"/>
      <c r="AK28" s="284"/>
      <c r="AL28" s="284"/>
      <c r="AM28" s="284"/>
      <c r="AN28" s="284"/>
      <c r="AO28" s="284"/>
      <c r="AP28" s="284"/>
      <c r="AQ28" s="284"/>
      <c r="AR28" s="284"/>
      <c r="AS28" s="284"/>
      <c r="AT28" s="284"/>
      <c r="AU28" s="284"/>
      <c r="AV28" s="284"/>
      <c r="AW28" s="284"/>
      <c r="AX28" s="284"/>
      <c r="AY28" s="284"/>
      <c r="AZ28" s="284"/>
      <c r="BA28" s="284"/>
      <c r="BB28" s="284"/>
      <c r="BC28" s="285"/>
      <c r="BD28" s="17"/>
    </row>
    <row r="29" spans="1:56" ht="14.25" customHeight="1" x14ac:dyDescent="0.2">
      <c r="A29" s="16"/>
      <c r="B29" s="10"/>
      <c r="C29" s="69" t="s">
        <v>101</v>
      </c>
      <c r="D29" s="253" t="str">
        <f>IF(SUMIF('Relatório de Consultoria'!$C$5:$C$161,C29,'Relatório de Consultoria'!$D$5:$D$161)=0,"",SUMIF('Relatório de Consultoria'!$C$5:$C$161,C29,'Relatório de Consultoria'!$D$5:$D$161))</f>
        <v/>
      </c>
      <c r="E29" s="253"/>
      <c r="F29" s="253"/>
      <c r="G29" s="253"/>
      <c r="H29" s="253" t="str">
        <f t="shared" si="0"/>
        <v/>
      </c>
      <c r="I29" s="253"/>
      <c r="J29" s="253"/>
      <c r="K29" s="256"/>
      <c r="M29" s="286"/>
      <c r="N29" s="287"/>
      <c r="O29" s="287"/>
      <c r="P29" s="287"/>
      <c r="Q29" s="287"/>
      <c r="R29" s="287"/>
      <c r="S29" s="287"/>
      <c r="T29" s="287"/>
      <c r="U29" s="287"/>
      <c r="V29" s="287"/>
      <c r="W29" s="287"/>
      <c r="X29" s="287"/>
      <c r="Y29" s="287"/>
      <c r="Z29" s="287"/>
      <c r="AA29" s="287"/>
      <c r="AB29" s="287"/>
      <c r="AC29" s="287"/>
      <c r="AD29" s="287"/>
      <c r="AE29" s="287"/>
      <c r="AF29" s="287"/>
      <c r="AG29" s="287"/>
      <c r="AH29" s="287"/>
      <c r="AI29" s="287"/>
      <c r="AJ29" s="287"/>
      <c r="AK29" s="287"/>
      <c r="AL29" s="287"/>
      <c r="AM29" s="287"/>
      <c r="AN29" s="287"/>
      <c r="AO29" s="287"/>
      <c r="AP29" s="287"/>
      <c r="AQ29" s="287"/>
      <c r="AR29" s="287"/>
      <c r="AS29" s="287"/>
      <c r="AT29" s="287"/>
      <c r="AU29" s="287"/>
      <c r="AV29" s="287"/>
      <c r="AW29" s="287"/>
      <c r="AX29" s="287"/>
      <c r="AY29" s="287"/>
      <c r="AZ29" s="287"/>
      <c r="BA29" s="287"/>
      <c r="BB29" s="287"/>
      <c r="BC29" s="288"/>
      <c r="BD29" s="17"/>
    </row>
    <row r="30" spans="1:56" ht="14.25" customHeight="1" thickBot="1" x14ac:dyDescent="0.25">
      <c r="A30" s="16"/>
      <c r="B30" s="11"/>
      <c r="C30" s="70"/>
      <c r="D30" s="252" t="str">
        <f>IF(SUMIF('Relatório de Consultoria'!$C$5:$C$161,C30,'Relatório de Consultoria'!$D$5:$D$161)=0,"",SUMIF('Relatório de Consultoria'!$C$5:$C$161,C30,'Relatório de Consultoria'!$D$5:$D$161))</f>
        <v/>
      </c>
      <c r="E30" s="252"/>
      <c r="F30" s="252"/>
      <c r="G30" s="252"/>
      <c r="H30" s="253" t="str">
        <f t="shared" si="0"/>
        <v/>
      </c>
      <c r="I30" s="253"/>
      <c r="J30" s="253"/>
      <c r="K30" s="256"/>
      <c r="M30" s="286"/>
      <c r="N30" s="287"/>
      <c r="O30" s="287"/>
      <c r="P30" s="287"/>
      <c r="Q30" s="287"/>
      <c r="R30" s="287"/>
      <c r="S30" s="287"/>
      <c r="T30" s="287"/>
      <c r="U30" s="287"/>
      <c r="V30" s="287"/>
      <c r="W30" s="287"/>
      <c r="X30" s="287"/>
      <c r="Y30" s="287"/>
      <c r="Z30" s="287"/>
      <c r="AA30" s="287"/>
      <c r="AB30" s="287"/>
      <c r="AC30" s="287"/>
      <c r="AD30" s="287"/>
      <c r="AE30" s="287"/>
      <c r="AF30" s="287"/>
      <c r="AG30" s="287"/>
      <c r="AH30" s="287"/>
      <c r="AI30" s="287"/>
      <c r="AJ30" s="287"/>
      <c r="AK30" s="287"/>
      <c r="AL30" s="287"/>
      <c r="AM30" s="287"/>
      <c r="AN30" s="287"/>
      <c r="AO30" s="287"/>
      <c r="AP30" s="287"/>
      <c r="AQ30" s="287"/>
      <c r="AR30" s="287"/>
      <c r="AS30" s="287"/>
      <c r="AT30" s="287"/>
      <c r="AU30" s="287"/>
      <c r="AV30" s="287"/>
      <c r="AW30" s="287"/>
      <c r="AX30" s="287"/>
      <c r="AY30" s="287"/>
      <c r="AZ30" s="287"/>
      <c r="BA30" s="287"/>
      <c r="BB30" s="287"/>
      <c r="BC30" s="288"/>
      <c r="BD30" s="17"/>
    </row>
    <row r="31" spans="1:56" ht="14.25" customHeight="1" thickBot="1" x14ac:dyDescent="0.25">
      <c r="A31" s="16"/>
      <c r="B31" s="242" t="s">
        <v>24</v>
      </c>
      <c r="C31" s="243"/>
      <c r="D31" s="244" t="str">
        <f>IF(ISERROR(D24-D25),"",D24-D25)</f>
        <v/>
      </c>
      <c r="E31" s="244"/>
      <c r="F31" s="244"/>
      <c r="G31" s="244"/>
      <c r="H31" s="244" t="str">
        <f t="shared" si="0"/>
        <v/>
      </c>
      <c r="I31" s="244"/>
      <c r="J31" s="244"/>
      <c r="K31" s="245"/>
      <c r="M31" s="286"/>
      <c r="N31" s="287"/>
      <c r="O31" s="287"/>
      <c r="P31" s="287"/>
      <c r="Q31" s="287"/>
      <c r="R31" s="287"/>
      <c r="S31" s="287"/>
      <c r="T31" s="287"/>
      <c r="U31" s="287"/>
      <c r="V31" s="287"/>
      <c r="W31" s="287"/>
      <c r="X31" s="287"/>
      <c r="Y31" s="287"/>
      <c r="Z31" s="287"/>
      <c r="AA31" s="287"/>
      <c r="AB31" s="287"/>
      <c r="AC31" s="287"/>
      <c r="AD31" s="287"/>
      <c r="AE31" s="287"/>
      <c r="AF31" s="287"/>
      <c r="AG31" s="287"/>
      <c r="AH31" s="287"/>
      <c r="AI31" s="287"/>
      <c r="AJ31" s="287"/>
      <c r="AK31" s="287"/>
      <c r="AL31" s="287"/>
      <c r="AM31" s="287"/>
      <c r="AN31" s="287"/>
      <c r="AO31" s="287"/>
      <c r="AP31" s="287"/>
      <c r="AQ31" s="287"/>
      <c r="AR31" s="287"/>
      <c r="AS31" s="287"/>
      <c r="AT31" s="287"/>
      <c r="AU31" s="287"/>
      <c r="AV31" s="287"/>
      <c r="AW31" s="287"/>
      <c r="AX31" s="287"/>
      <c r="AY31" s="287"/>
      <c r="AZ31" s="287"/>
      <c r="BA31" s="287"/>
      <c r="BB31" s="287"/>
      <c r="BC31" s="288"/>
      <c r="BD31" s="17"/>
    </row>
    <row r="32" spans="1:56" ht="14.25" customHeight="1" thickBot="1" x14ac:dyDescent="0.25">
      <c r="A32" s="16"/>
      <c r="B32" s="246" t="s">
        <v>25</v>
      </c>
      <c r="C32" s="247"/>
      <c r="D32" s="297" t="str">
        <f>IF(IF(ISERROR(D25/D24),0,D25/D24)=0,"",IF(ISERROR(D25/D24),0,D25/D24))</f>
        <v/>
      </c>
      <c r="E32" s="297"/>
      <c r="F32" s="297"/>
      <c r="G32" s="297"/>
      <c r="H32" s="297"/>
      <c r="I32" s="297"/>
      <c r="J32" s="297"/>
      <c r="K32" s="298"/>
      <c r="M32" s="286"/>
      <c r="N32" s="287"/>
      <c r="O32" s="287"/>
      <c r="P32" s="287"/>
      <c r="Q32" s="287"/>
      <c r="R32" s="287"/>
      <c r="S32" s="287"/>
      <c r="T32" s="287"/>
      <c r="U32" s="287"/>
      <c r="V32" s="287"/>
      <c r="W32" s="287"/>
      <c r="X32" s="287"/>
      <c r="Y32" s="287"/>
      <c r="Z32" s="287"/>
      <c r="AA32" s="287"/>
      <c r="AB32" s="287"/>
      <c r="AC32" s="287"/>
      <c r="AD32" s="287"/>
      <c r="AE32" s="287"/>
      <c r="AF32" s="287"/>
      <c r="AG32" s="287"/>
      <c r="AH32" s="287"/>
      <c r="AI32" s="287"/>
      <c r="AJ32" s="287"/>
      <c r="AK32" s="287"/>
      <c r="AL32" s="287"/>
      <c r="AM32" s="287"/>
      <c r="AN32" s="287"/>
      <c r="AO32" s="287"/>
      <c r="AP32" s="287"/>
      <c r="AQ32" s="287"/>
      <c r="AR32" s="287"/>
      <c r="AS32" s="287"/>
      <c r="AT32" s="287"/>
      <c r="AU32" s="287"/>
      <c r="AV32" s="287"/>
      <c r="AW32" s="287"/>
      <c r="AX32" s="287"/>
      <c r="AY32" s="287"/>
      <c r="AZ32" s="287"/>
      <c r="BA32" s="287"/>
      <c r="BB32" s="287"/>
      <c r="BC32" s="288"/>
      <c r="BD32" s="17"/>
    </row>
    <row r="33" spans="1:56" ht="9.9499999999999993" customHeight="1" x14ac:dyDescent="0.2">
      <c r="A33" s="16"/>
      <c r="B33" s="111"/>
      <c r="C33" s="111"/>
      <c r="D33" s="112"/>
      <c r="E33" s="112"/>
      <c r="F33" s="112"/>
      <c r="G33" s="112"/>
      <c r="H33" s="112"/>
      <c r="I33" s="112"/>
      <c r="J33" s="112"/>
      <c r="K33" s="112"/>
      <c r="M33" s="286"/>
      <c r="N33" s="287"/>
      <c r="O33" s="287"/>
      <c r="P33" s="287"/>
      <c r="Q33" s="287"/>
      <c r="R33" s="287"/>
      <c r="S33" s="287"/>
      <c r="T33" s="287"/>
      <c r="U33" s="287"/>
      <c r="V33" s="287"/>
      <c r="W33" s="287"/>
      <c r="X33" s="287"/>
      <c r="Y33" s="287"/>
      <c r="Z33" s="287"/>
      <c r="AA33" s="287"/>
      <c r="AB33" s="287"/>
      <c r="AC33" s="287"/>
      <c r="AD33" s="287"/>
      <c r="AE33" s="287"/>
      <c r="AF33" s="287"/>
      <c r="AG33" s="287"/>
      <c r="AH33" s="287"/>
      <c r="AI33" s="287"/>
      <c r="AJ33" s="287"/>
      <c r="AK33" s="287"/>
      <c r="AL33" s="287"/>
      <c r="AM33" s="287"/>
      <c r="AN33" s="287"/>
      <c r="AO33" s="287"/>
      <c r="AP33" s="287"/>
      <c r="AQ33" s="287"/>
      <c r="AR33" s="287"/>
      <c r="AS33" s="287"/>
      <c r="AT33" s="287"/>
      <c r="AU33" s="287"/>
      <c r="AV33" s="287"/>
      <c r="AW33" s="287"/>
      <c r="AX33" s="287"/>
      <c r="AY33" s="287"/>
      <c r="AZ33" s="287"/>
      <c r="BA33" s="287"/>
      <c r="BB33" s="287"/>
      <c r="BC33" s="288"/>
      <c r="BD33" s="17"/>
    </row>
    <row r="34" spans="1:56" ht="9.9499999999999993" customHeight="1" x14ac:dyDescent="0.2">
      <c r="A34" s="16"/>
      <c r="B34" s="111"/>
      <c r="C34" s="111"/>
      <c r="D34" s="112"/>
      <c r="E34" s="112"/>
      <c r="F34" s="112"/>
      <c r="G34" s="112"/>
      <c r="H34" s="112"/>
      <c r="I34" s="112"/>
      <c r="J34" s="112"/>
      <c r="K34" s="112"/>
      <c r="M34" s="286"/>
      <c r="N34" s="287"/>
      <c r="O34" s="287"/>
      <c r="P34" s="287"/>
      <c r="Q34" s="287"/>
      <c r="R34" s="287"/>
      <c r="S34" s="287"/>
      <c r="T34" s="287"/>
      <c r="U34" s="287"/>
      <c r="V34" s="287"/>
      <c r="W34" s="287"/>
      <c r="X34" s="287"/>
      <c r="Y34" s="287"/>
      <c r="Z34" s="287"/>
      <c r="AA34" s="287"/>
      <c r="AB34" s="287"/>
      <c r="AC34" s="287"/>
      <c r="AD34" s="287"/>
      <c r="AE34" s="287"/>
      <c r="AF34" s="287"/>
      <c r="AG34" s="287"/>
      <c r="AH34" s="287"/>
      <c r="AI34" s="287"/>
      <c r="AJ34" s="287"/>
      <c r="AK34" s="287"/>
      <c r="AL34" s="287"/>
      <c r="AM34" s="287"/>
      <c r="AN34" s="287"/>
      <c r="AO34" s="287"/>
      <c r="AP34" s="287"/>
      <c r="AQ34" s="287"/>
      <c r="AR34" s="287"/>
      <c r="AS34" s="287"/>
      <c r="AT34" s="287"/>
      <c r="AU34" s="287"/>
      <c r="AV34" s="287"/>
      <c r="AW34" s="287"/>
      <c r="AX34" s="287"/>
      <c r="AY34" s="287"/>
      <c r="AZ34" s="287"/>
      <c r="BA34" s="287"/>
      <c r="BB34" s="287"/>
      <c r="BC34" s="288"/>
      <c r="BD34" s="17"/>
    </row>
    <row r="35" spans="1:56" ht="9.9499999999999993" customHeight="1" x14ac:dyDescent="0.2">
      <c r="A35" s="16"/>
      <c r="B35" s="111"/>
      <c r="C35" s="111"/>
      <c r="D35" s="112"/>
      <c r="E35" s="112"/>
      <c r="F35" s="112"/>
      <c r="G35" s="112"/>
      <c r="H35" s="112"/>
      <c r="I35" s="112"/>
      <c r="J35" s="112"/>
      <c r="K35" s="112"/>
      <c r="M35" s="286"/>
      <c r="N35" s="287"/>
      <c r="O35" s="287"/>
      <c r="P35" s="287"/>
      <c r="Q35" s="287"/>
      <c r="R35" s="287"/>
      <c r="S35" s="287"/>
      <c r="T35" s="287"/>
      <c r="U35" s="287"/>
      <c r="V35" s="287"/>
      <c r="W35" s="287"/>
      <c r="X35" s="287"/>
      <c r="Y35" s="287"/>
      <c r="Z35" s="287"/>
      <c r="AA35" s="287"/>
      <c r="AB35" s="287"/>
      <c r="AC35" s="287"/>
      <c r="AD35" s="287"/>
      <c r="AE35" s="287"/>
      <c r="AF35" s="287"/>
      <c r="AG35" s="287"/>
      <c r="AH35" s="287"/>
      <c r="AI35" s="287"/>
      <c r="AJ35" s="287"/>
      <c r="AK35" s="287"/>
      <c r="AL35" s="287"/>
      <c r="AM35" s="287"/>
      <c r="AN35" s="287"/>
      <c r="AO35" s="287"/>
      <c r="AP35" s="287"/>
      <c r="AQ35" s="287"/>
      <c r="AR35" s="287"/>
      <c r="AS35" s="287"/>
      <c r="AT35" s="287"/>
      <c r="AU35" s="287"/>
      <c r="AV35" s="287"/>
      <c r="AW35" s="287"/>
      <c r="AX35" s="287"/>
      <c r="AY35" s="287"/>
      <c r="AZ35" s="287"/>
      <c r="BA35" s="287"/>
      <c r="BB35" s="287"/>
      <c r="BC35" s="288"/>
      <c r="BD35" s="17"/>
    </row>
    <row r="36" spans="1:56" ht="9.9499999999999993" customHeight="1" thickBot="1" x14ac:dyDescent="0.25">
      <c r="A36" s="16"/>
      <c r="B36" s="111"/>
      <c r="C36" s="111"/>
      <c r="D36" s="112"/>
      <c r="E36" s="112"/>
      <c r="F36" s="112"/>
      <c r="G36" s="112"/>
      <c r="H36" s="112"/>
      <c r="I36" s="112"/>
      <c r="J36" s="112"/>
      <c r="K36" s="112"/>
      <c r="M36" s="286"/>
      <c r="N36" s="287"/>
      <c r="O36" s="287"/>
      <c r="P36" s="287"/>
      <c r="Q36" s="287"/>
      <c r="R36" s="287"/>
      <c r="S36" s="287"/>
      <c r="T36" s="287"/>
      <c r="U36" s="287"/>
      <c r="V36" s="287"/>
      <c r="W36" s="287"/>
      <c r="X36" s="287"/>
      <c r="Y36" s="287"/>
      <c r="Z36" s="287"/>
      <c r="AA36" s="287"/>
      <c r="AB36" s="287"/>
      <c r="AC36" s="287"/>
      <c r="AD36" s="287"/>
      <c r="AE36" s="287"/>
      <c r="AF36" s="287"/>
      <c r="AG36" s="287"/>
      <c r="AH36" s="287"/>
      <c r="AI36" s="287"/>
      <c r="AJ36" s="287"/>
      <c r="AK36" s="287"/>
      <c r="AL36" s="287"/>
      <c r="AM36" s="287"/>
      <c r="AN36" s="287"/>
      <c r="AO36" s="287"/>
      <c r="AP36" s="287"/>
      <c r="AQ36" s="287"/>
      <c r="AR36" s="287"/>
      <c r="AS36" s="287"/>
      <c r="AT36" s="287"/>
      <c r="AU36" s="287"/>
      <c r="AV36" s="287"/>
      <c r="AW36" s="287"/>
      <c r="AX36" s="287"/>
      <c r="AY36" s="287"/>
      <c r="AZ36" s="287"/>
      <c r="BA36" s="287"/>
      <c r="BB36" s="287"/>
      <c r="BC36" s="288"/>
      <c r="BD36" s="17"/>
    </row>
    <row r="37" spans="1:56" ht="108" customHeight="1" thickBot="1" x14ac:dyDescent="0.25">
      <c r="A37" s="16"/>
      <c r="C37" s="111"/>
      <c r="D37" s="112"/>
      <c r="E37" s="112"/>
      <c r="G37" s="113" t="s">
        <v>39</v>
      </c>
      <c r="H37" s="280" t="str">
        <f>IF(ISERROR(SUM('Relatório de Consultoria'!D5:D161)/'Agenda de Consultoria'!D57),"",SUM('Relatório de Consultoria'!D5:D161)/'Agenda de Consultoria'!D57)</f>
        <v/>
      </c>
      <c r="I37" s="281"/>
      <c r="J37" s="281"/>
      <c r="K37" s="282"/>
      <c r="M37" s="289"/>
      <c r="N37" s="290"/>
      <c r="O37" s="290"/>
      <c r="P37" s="290"/>
      <c r="Q37" s="290"/>
      <c r="R37" s="290"/>
      <c r="S37" s="290"/>
      <c r="T37" s="290"/>
      <c r="U37" s="290"/>
      <c r="V37" s="290"/>
      <c r="W37" s="290"/>
      <c r="X37" s="290"/>
      <c r="Y37" s="290"/>
      <c r="Z37" s="290"/>
      <c r="AA37" s="290"/>
      <c r="AB37" s="290"/>
      <c r="AC37" s="290"/>
      <c r="AD37" s="290"/>
      <c r="AE37" s="290"/>
      <c r="AF37" s="290"/>
      <c r="AG37" s="290"/>
      <c r="AH37" s="290"/>
      <c r="AI37" s="290"/>
      <c r="AJ37" s="290"/>
      <c r="AK37" s="290"/>
      <c r="AL37" s="290"/>
      <c r="AM37" s="290"/>
      <c r="AN37" s="290"/>
      <c r="AO37" s="290"/>
      <c r="AP37" s="290"/>
      <c r="AQ37" s="290"/>
      <c r="AR37" s="290"/>
      <c r="AS37" s="290"/>
      <c r="AT37" s="290"/>
      <c r="AU37" s="290"/>
      <c r="AV37" s="290"/>
      <c r="AW37" s="290"/>
      <c r="AX37" s="290"/>
      <c r="AY37" s="290"/>
      <c r="AZ37" s="290"/>
      <c r="BA37" s="290"/>
      <c r="BB37" s="290"/>
      <c r="BC37" s="291"/>
      <c r="BD37" s="17"/>
    </row>
    <row r="38" spans="1:56" ht="9.9499999999999993" customHeight="1" thickBot="1" x14ac:dyDescent="0.25">
      <c r="A38" s="20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21"/>
    </row>
    <row r="40" spans="1:56" hidden="1" x14ac:dyDescent="0.2">
      <c r="E40" s="22">
        <v>1</v>
      </c>
      <c r="F40" s="23" t="s">
        <v>4</v>
      </c>
    </row>
    <row r="41" spans="1:56" hidden="1" x14ac:dyDescent="0.2">
      <c r="E41" s="22">
        <v>2</v>
      </c>
      <c r="F41" s="23" t="s">
        <v>5</v>
      </c>
    </row>
    <row r="42" spans="1:56" hidden="1" x14ac:dyDescent="0.2">
      <c r="E42" s="22">
        <v>3</v>
      </c>
      <c r="F42" s="23" t="s">
        <v>6</v>
      </c>
    </row>
    <row r="43" spans="1:56" hidden="1" x14ac:dyDescent="0.2">
      <c r="E43" s="22">
        <v>4</v>
      </c>
      <c r="F43" s="23" t="s">
        <v>7</v>
      </c>
    </row>
    <row r="44" spans="1:56" hidden="1" x14ac:dyDescent="0.2">
      <c r="E44" s="22">
        <v>5</v>
      </c>
      <c r="F44" s="22" t="s">
        <v>8</v>
      </c>
    </row>
    <row r="45" spans="1:56" hidden="1" x14ac:dyDescent="0.2">
      <c r="E45" s="22">
        <v>6</v>
      </c>
      <c r="F45" s="22" t="s">
        <v>9</v>
      </c>
    </row>
    <row r="46" spans="1:56" hidden="1" x14ac:dyDescent="0.2">
      <c r="E46" s="22">
        <v>7</v>
      </c>
      <c r="F46" s="22" t="s">
        <v>10</v>
      </c>
    </row>
    <row r="47" spans="1:56" hidden="1" x14ac:dyDescent="0.2">
      <c r="E47" s="22">
        <v>8</v>
      </c>
      <c r="F47" s="22" t="s">
        <v>11</v>
      </c>
    </row>
    <row r="48" spans="1:56" hidden="1" x14ac:dyDescent="0.2">
      <c r="E48" s="22">
        <v>9</v>
      </c>
      <c r="F48" s="22" t="s">
        <v>12</v>
      </c>
    </row>
    <row r="49" spans="5:6" hidden="1" x14ac:dyDescent="0.2">
      <c r="E49" s="22">
        <v>10</v>
      </c>
      <c r="F49" s="22" t="s">
        <v>13</v>
      </c>
    </row>
    <row r="50" spans="5:6" hidden="1" x14ac:dyDescent="0.2">
      <c r="E50" s="22">
        <v>11</v>
      </c>
      <c r="F50" s="22" t="s">
        <v>14</v>
      </c>
    </row>
    <row r="51" spans="5:6" hidden="1" x14ac:dyDescent="0.2">
      <c r="E51" s="22">
        <v>12</v>
      </c>
      <c r="F51" s="22" t="s">
        <v>15</v>
      </c>
    </row>
  </sheetData>
  <sheetProtection formatColumns="0" formatRows="0" insertRows="0" deleteRows="0"/>
  <mergeCells count="60">
    <mergeCell ref="AF6:AI6"/>
    <mergeCell ref="AU4:BC4"/>
    <mergeCell ref="D7:G7"/>
    <mergeCell ref="L6:O6"/>
    <mergeCell ref="H26:K26"/>
    <mergeCell ref="D6:G6"/>
    <mergeCell ref="L7:O7"/>
    <mergeCell ref="P7:S7"/>
    <mergeCell ref="I4:Y4"/>
    <mergeCell ref="H37:K37"/>
    <mergeCell ref="M28:BC37"/>
    <mergeCell ref="AZ6:BC6"/>
    <mergeCell ref="M26:BC27"/>
    <mergeCell ref="AZ7:BC7"/>
    <mergeCell ref="AJ6:AM6"/>
    <mergeCell ref="AN6:AQ6"/>
    <mergeCell ref="AR7:AU7"/>
    <mergeCell ref="AJ7:AM7"/>
    <mergeCell ref="H23:K23"/>
    <mergeCell ref="D32:K32"/>
    <mergeCell ref="H30:K30"/>
    <mergeCell ref="H29:K29"/>
    <mergeCell ref="X6:AA6"/>
    <mergeCell ref="H6:K6"/>
    <mergeCell ref="H28:K28"/>
    <mergeCell ref="AU2:BC2"/>
    <mergeCell ref="AO2:AT2"/>
    <mergeCell ref="AF7:AI7"/>
    <mergeCell ref="H7:K7"/>
    <mergeCell ref="T6:W6"/>
    <mergeCell ref="AO4:AT4"/>
    <mergeCell ref="AB7:AE7"/>
    <mergeCell ref="AN7:AQ7"/>
    <mergeCell ref="X7:AA7"/>
    <mergeCell ref="AR6:AU6"/>
    <mergeCell ref="T7:W7"/>
    <mergeCell ref="AB6:AE6"/>
    <mergeCell ref="P6:S6"/>
    <mergeCell ref="C2:AN3"/>
    <mergeCell ref="AV6:AY6"/>
    <mergeCell ref="AV7:AY7"/>
    <mergeCell ref="B7:B8"/>
    <mergeCell ref="H27:K27"/>
    <mergeCell ref="B25:C25"/>
    <mergeCell ref="D23:G23"/>
    <mergeCell ref="D26:G26"/>
    <mergeCell ref="D27:G27"/>
    <mergeCell ref="B24:C24"/>
    <mergeCell ref="C7:C8"/>
    <mergeCell ref="B31:C31"/>
    <mergeCell ref="H31:K31"/>
    <mergeCell ref="B32:C32"/>
    <mergeCell ref="D24:G24"/>
    <mergeCell ref="H25:K25"/>
    <mergeCell ref="D25:G25"/>
    <mergeCell ref="H24:K24"/>
    <mergeCell ref="D31:G31"/>
    <mergeCell ref="D30:G30"/>
    <mergeCell ref="D29:G29"/>
    <mergeCell ref="D28:G28"/>
  </mergeCells>
  <phoneticPr fontId="2" type="noConversion"/>
  <conditionalFormatting sqref="D9:G21">
    <cfRule type="expression" dxfId="763" priority="289" stopIfTrue="1">
      <formula>D9="V"</formula>
    </cfRule>
    <cfRule type="expression" dxfId="762" priority="290" stopIfTrue="1">
      <formula>D9="P"</formula>
    </cfRule>
    <cfRule type="expression" dxfId="761" priority="291" stopIfTrue="1">
      <formula>D9="R"</formula>
    </cfRule>
  </conditionalFormatting>
  <conditionalFormatting sqref="H9:AU21 AZ9:BC21">
    <cfRule type="expression" dxfId="760" priority="4" stopIfTrue="1">
      <formula>H9="V"</formula>
    </cfRule>
    <cfRule type="expression" dxfId="759" priority="5" stopIfTrue="1">
      <formula>H9="P"</formula>
    </cfRule>
    <cfRule type="expression" dxfId="758" priority="6" stopIfTrue="1">
      <formula>H9="R"</formula>
    </cfRule>
  </conditionalFormatting>
  <conditionalFormatting sqref="AV9:AY21">
    <cfRule type="expression" dxfId="757" priority="1" stopIfTrue="1">
      <formula>AV9="V"</formula>
    </cfRule>
    <cfRule type="expression" dxfId="756" priority="2" stopIfTrue="1">
      <formula>AV9="P"</formula>
    </cfRule>
    <cfRule type="expression" dxfId="755" priority="3" stopIfTrue="1">
      <formula>AV9="R"</formula>
    </cfRule>
  </conditionalFormatting>
  <dataValidations count="1">
    <dataValidation type="list" errorStyle="information" allowBlank="1" showDropDown="1" showInputMessage="1" showErrorMessage="1" error="Preencher as células com:_x000a_P - Planejado_x000a_R - Realizado_x000a_V - Reprogramado" sqref="D9:BC21" xr:uid="{00000000-0002-0000-0000-000000000000}">
      <formula1>$M$24:$AB$24</formula1>
    </dataValidation>
  </dataValidations>
  <pageMargins left="0.78740157499999996" right="0.78740157499999996" top="0.984251969" bottom="0.984251969" header="0.49212598499999999" footer="0.49212598499999999"/>
  <pageSetup paperSize="9" scale="29" orientation="portrait" r:id="rId1"/>
  <headerFooter alignWithMargins="0"/>
  <ignoredErrors>
    <ignoredError sqref="BA7:BC7 H7:AU7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Drop Down 3">
              <controlPr defaultSize="0" autoLine="0" autoPict="0">
                <anchor mov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6</xdr:col>
                    <xdr:colOff>304800</xdr:colOff>
                    <xdr:row>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CQ2138"/>
  <sheetViews>
    <sheetView showGridLines="0" tabSelected="1" topLeftCell="A2" zoomScale="53" zoomScaleNormal="53" zoomScaleSheetLayoutView="92" workbookViewId="0">
      <pane xSplit="4" ySplit="1" topLeftCell="E3" activePane="bottomRight" state="frozen"/>
      <selection activeCell="A2" sqref="A2"/>
      <selection pane="topRight" activeCell="E2" sqref="E2"/>
      <selection pane="bottomLeft" activeCell="A3" sqref="A3"/>
      <selection pane="bottomRight" activeCell="O8" sqref="O8"/>
    </sheetView>
  </sheetViews>
  <sheetFormatPr defaultColWidth="11.42578125" defaultRowHeight="12.75" x14ac:dyDescent="0.2"/>
  <cols>
    <col min="1" max="1" width="1.42578125" style="15" customWidth="1"/>
    <col min="2" max="2" width="11.28515625" style="15" customWidth="1"/>
    <col min="3" max="3" width="2.85546875" style="15" hidden="1" customWidth="1"/>
    <col min="4" max="4" width="0.140625" style="15" customWidth="1"/>
    <col min="5" max="9" width="4.42578125" style="15" customWidth="1"/>
    <col min="10" max="10" width="5.5703125" style="15" customWidth="1"/>
    <col min="11" max="11" width="0.140625" style="15" hidden="1" customWidth="1"/>
    <col min="12" max="12" width="3.28515625" style="15" hidden="1" customWidth="1"/>
    <col min="13" max="14" width="4.42578125" style="15" customWidth="1"/>
    <col min="15" max="15" width="6.85546875" style="15" bestFit="1" customWidth="1"/>
    <col min="16" max="17" width="6.28515625" style="15" bestFit="1" customWidth="1"/>
    <col min="18" max="18" width="6.42578125" style="15" customWidth="1"/>
    <col min="19" max="19" width="0.140625" style="15" hidden="1" customWidth="1"/>
    <col min="20" max="20" width="0.7109375" style="15" hidden="1" customWidth="1"/>
    <col min="21" max="21" width="3.85546875" style="15" customWidth="1"/>
    <col min="22" max="22" width="4.7109375" style="15" customWidth="1"/>
    <col min="23" max="25" width="4.42578125" style="15" customWidth="1"/>
    <col min="26" max="26" width="6.85546875" style="15" customWidth="1"/>
    <col min="27" max="27" width="0.5703125" style="15" customWidth="1"/>
    <col min="28" max="28" width="3.7109375" style="15" hidden="1" customWidth="1"/>
    <col min="29" max="33" width="4.42578125" style="15" customWidth="1"/>
    <col min="34" max="34" width="4.140625" style="15" customWidth="1"/>
    <col min="35" max="35" width="6.140625" style="15" hidden="1" customWidth="1"/>
    <col min="36" max="36" width="0.140625" style="15" customWidth="1"/>
    <col min="37" max="37" width="5.5703125" style="15" customWidth="1"/>
    <col min="38" max="41" width="4.42578125" style="15" customWidth="1"/>
    <col min="42" max="42" width="4.5703125" style="15" customWidth="1"/>
    <col min="43" max="43" width="0.140625" style="15" hidden="1" customWidth="1"/>
    <col min="44" max="44" width="9.42578125" style="15" hidden="1" customWidth="1"/>
    <col min="45" max="49" width="4.42578125" style="15" customWidth="1"/>
    <col min="50" max="50" width="6.42578125" style="15" bestFit="1" customWidth="1"/>
    <col min="51" max="51" width="7.85546875" style="15" hidden="1" customWidth="1"/>
    <col min="52" max="52" width="0.28515625" style="15" customWidth="1"/>
    <col min="53" max="57" width="4.42578125" style="15" customWidth="1"/>
    <col min="58" max="58" width="6.7109375" style="15" customWidth="1"/>
    <col min="59" max="59" width="6" style="15" hidden="1" customWidth="1"/>
    <col min="60" max="60" width="0.5703125" style="15" customWidth="1"/>
    <col min="61" max="65" width="4.42578125" style="15" customWidth="1"/>
    <col min="66" max="66" width="5.42578125" style="15" customWidth="1"/>
    <col min="67" max="67" width="6.42578125" style="15" hidden="1" customWidth="1"/>
    <col min="68" max="68" width="0.28515625" style="15" customWidth="1"/>
    <col min="69" max="73" width="4.42578125" style="15" customWidth="1"/>
    <col min="74" max="74" width="5.140625" style="15" customWidth="1"/>
    <col min="75" max="75" width="0.140625" style="15" customWidth="1"/>
    <col min="76" max="76" width="0.5703125" style="15" hidden="1" customWidth="1"/>
    <col min="77" max="77" width="3.85546875" style="15" customWidth="1"/>
    <col min="78" max="81" width="4.42578125" style="15" customWidth="1"/>
    <col min="82" max="82" width="5.28515625" style="15" customWidth="1"/>
    <col min="83" max="83" width="11.7109375" style="15" hidden="1" customWidth="1"/>
    <col min="84" max="84" width="0.140625" style="15" customWidth="1"/>
    <col min="85" max="90" width="4.42578125" style="15" customWidth="1"/>
    <col min="91" max="91" width="12.85546875" style="15" hidden="1" customWidth="1"/>
    <col min="92" max="92" width="4.42578125" style="15" hidden="1" customWidth="1"/>
    <col min="93" max="93" width="0.85546875" style="15" hidden="1" customWidth="1"/>
    <col min="94" max="94" width="18.140625" style="15" bestFit="1" customWidth="1"/>
    <col min="95" max="178" width="9.140625" style="15" customWidth="1"/>
    <col min="179" max="16384" width="11.42578125" style="15"/>
  </cols>
  <sheetData>
    <row r="1" spans="1:95" ht="9.9499999999999993" customHeight="1" x14ac:dyDescent="0.2">
      <c r="C1" s="215" t="s">
        <v>126</v>
      </c>
    </row>
    <row r="2" spans="1:95" ht="45" customHeight="1" x14ac:dyDescent="0.2">
      <c r="B2" s="303" t="s">
        <v>31</v>
      </c>
      <c r="C2" s="303"/>
      <c r="D2" s="303"/>
      <c r="E2" s="303"/>
      <c r="F2" s="303"/>
      <c r="G2" s="303"/>
      <c r="H2" s="303"/>
      <c r="I2" s="303"/>
      <c r="J2" s="303"/>
      <c r="K2" s="303"/>
      <c r="L2" s="303"/>
      <c r="M2" s="303"/>
      <c r="N2" s="303"/>
      <c r="O2" s="303"/>
      <c r="P2" s="303"/>
      <c r="Q2" s="303"/>
      <c r="R2" s="303"/>
      <c r="S2" s="303"/>
      <c r="T2" s="303"/>
      <c r="U2" s="303"/>
      <c r="V2" s="303"/>
      <c r="W2" s="303"/>
      <c r="X2" s="303"/>
      <c r="Y2" s="303"/>
      <c r="Z2" s="303"/>
      <c r="AA2" s="303"/>
      <c r="AB2" s="303"/>
      <c r="AC2" s="303"/>
      <c r="AD2" s="303"/>
      <c r="AE2" s="303"/>
      <c r="AF2" s="303"/>
      <c r="AG2" s="303"/>
      <c r="AH2" s="303"/>
      <c r="AI2" s="303"/>
      <c r="AJ2" s="303"/>
      <c r="AK2" s="303"/>
      <c r="AL2" s="303"/>
      <c r="AM2" s="303"/>
      <c r="AN2" s="303"/>
      <c r="AO2" s="303"/>
      <c r="AP2" s="303"/>
      <c r="AQ2" s="303"/>
      <c r="AR2" s="303"/>
      <c r="AS2" s="303"/>
      <c r="AT2" s="303"/>
      <c r="AU2" s="303"/>
      <c r="AV2" s="303"/>
      <c r="AW2" s="303"/>
      <c r="AX2" s="303"/>
      <c r="AY2" s="303"/>
      <c r="AZ2" s="303"/>
      <c r="BA2" s="303"/>
      <c r="BB2" s="303"/>
      <c r="BC2" s="303"/>
      <c r="BD2" s="303"/>
      <c r="BE2" s="303"/>
      <c r="BF2" s="303"/>
      <c r="BG2" s="303"/>
      <c r="BH2" s="303"/>
      <c r="BI2" s="303"/>
      <c r="BJ2" s="303"/>
      <c r="BK2" s="303"/>
      <c r="BL2" s="303"/>
      <c r="BM2" s="303"/>
      <c r="BN2" s="303"/>
      <c r="BO2" s="303"/>
      <c r="BP2" s="303"/>
      <c r="BQ2" s="303"/>
      <c r="BR2" s="303"/>
      <c r="BS2" s="303"/>
      <c r="BT2" s="303"/>
      <c r="BU2" s="303"/>
      <c r="BV2" s="303"/>
      <c r="BW2" s="303"/>
      <c r="BX2" s="303"/>
      <c r="BY2" s="303"/>
      <c r="BZ2" s="303"/>
      <c r="CA2" s="303"/>
      <c r="CB2" s="303"/>
      <c r="CC2" s="303"/>
      <c r="CD2" s="303"/>
      <c r="CE2" s="303"/>
      <c r="CF2" s="303"/>
      <c r="CG2" s="303"/>
      <c r="CH2" s="303"/>
      <c r="CI2" s="303"/>
      <c r="CJ2" s="303"/>
      <c r="CK2" s="303"/>
      <c r="CL2" s="303"/>
      <c r="CM2" s="303"/>
      <c r="CN2" s="303"/>
    </row>
    <row r="3" spans="1:95" s="82" customFormat="1" ht="24.75" customHeight="1" x14ac:dyDescent="0.2">
      <c r="A3" s="198">
        <v>0</v>
      </c>
      <c r="B3" s="198">
        <v>1</v>
      </c>
      <c r="C3" s="198">
        <v>2</v>
      </c>
      <c r="D3" s="198">
        <v>3</v>
      </c>
      <c r="E3" s="198">
        <v>4</v>
      </c>
      <c r="F3" s="198">
        <v>5</v>
      </c>
      <c r="G3" s="198">
        <v>6</v>
      </c>
      <c r="H3" s="198">
        <v>7</v>
      </c>
      <c r="I3" s="198">
        <v>8</v>
      </c>
      <c r="J3" s="198">
        <v>9</v>
      </c>
      <c r="K3" s="198">
        <v>10</v>
      </c>
      <c r="L3" s="198">
        <v>11</v>
      </c>
      <c r="M3" s="198">
        <v>12</v>
      </c>
      <c r="N3" s="198">
        <v>13</v>
      </c>
      <c r="O3" s="198">
        <v>14</v>
      </c>
      <c r="P3" s="198">
        <v>15</v>
      </c>
      <c r="Q3" s="198">
        <v>16</v>
      </c>
      <c r="R3" s="198">
        <v>17</v>
      </c>
      <c r="S3" s="198">
        <v>18</v>
      </c>
      <c r="T3" s="198">
        <v>19</v>
      </c>
      <c r="U3" s="198">
        <v>20</v>
      </c>
      <c r="V3" s="198">
        <v>21</v>
      </c>
      <c r="W3" s="198">
        <v>22</v>
      </c>
      <c r="X3" s="198">
        <v>23</v>
      </c>
      <c r="Y3" s="198">
        <v>24</v>
      </c>
      <c r="Z3" s="198">
        <v>25</v>
      </c>
      <c r="AA3" s="198">
        <v>26</v>
      </c>
      <c r="AB3" s="198">
        <v>27</v>
      </c>
      <c r="AC3" s="198">
        <v>28</v>
      </c>
      <c r="AD3" s="198">
        <v>29</v>
      </c>
      <c r="AE3" s="198">
        <v>30</v>
      </c>
      <c r="AF3" s="198">
        <v>31</v>
      </c>
      <c r="AG3" s="198">
        <v>32</v>
      </c>
      <c r="AH3" s="198">
        <v>33</v>
      </c>
      <c r="AI3" s="198">
        <v>34</v>
      </c>
      <c r="AJ3" s="198">
        <v>35</v>
      </c>
      <c r="AK3" s="198">
        <v>36</v>
      </c>
      <c r="AL3" s="198">
        <v>37</v>
      </c>
      <c r="AM3" s="198">
        <v>38</v>
      </c>
      <c r="AN3" s="198">
        <v>39</v>
      </c>
      <c r="AO3" s="198">
        <v>40</v>
      </c>
      <c r="AP3" s="198">
        <v>41</v>
      </c>
      <c r="AQ3" s="198">
        <v>42</v>
      </c>
      <c r="AR3" s="198">
        <v>43</v>
      </c>
      <c r="AS3" s="198">
        <v>44</v>
      </c>
      <c r="AT3" s="198">
        <v>45</v>
      </c>
      <c r="AU3" s="198">
        <v>46</v>
      </c>
      <c r="AV3" s="198">
        <v>47</v>
      </c>
      <c r="AW3" s="198">
        <v>48</v>
      </c>
      <c r="AX3" s="198">
        <v>49</v>
      </c>
      <c r="AY3" s="198">
        <v>50</v>
      </c>
      <c r="AZ3" s="198">
        <v>51</v>
      </c>
      <c r="BA3" s="198">
        <v>52</v>
      </c>
      <c r="BB3" s="198">
        <v>53</v>
      </c>
      <c r="BC3" s="198">
        <v>54</v>
      </c>
      <c r="BD3" s="198">
        <v>55</v>
      </c>
      <c r="BE3" s="198">
        <v>56</v>
      </c>
      <c r="BF3" s="198">
        <v>57</v>
      </c>
      <c r="BG3" s="198">
        <v>58</v>
      </c>
      <c r="BH3" s="198">
        <v>59</v>
      </c>
      <c r="BI3" s="198">
        <v>60</v>
      </c>
      <c r="BJ3" s="198">
        <v>61</v>
      </c>
      <c r="BK3" s="198">
        <v>62</v>
      </c>
      <c r="BL3" s="198">
        <v>63</v>
      </c>
      <c r="BM3" s="198">
        <v>64</v>
      </c>
      <c r="BN3" s="198">
        <v>65</v>
      </c>
      <c r="BO3" s="198">
        <v>66</v>
      </c>
      <c r="BP3" s="198">
        <v>67</v>
      </c>
      <c r="BQ3" s="198">
        <v>68</v>
      </c>
      <c r="BR3" s="198">
        <v>69</v>
      </c>
      <c r="BS3" s="198">
        <v>70</v>
      </c>
      <c r="BT3" s="198">
        <v>71</v>
      </c>
      <c r="BU3" s="198">
        <v>72</v>
      </c>
      <c r="BV3" s="198">
        <v>73</v>
      </c>
      <c r="BW3" s="198">
        <v>74</v>
      </c>
      <c r="BX3" s="198">
        <v>75</v>
      </c>
      <c r="BY3" s="198">
        <v>76</v>
      </c>
      <c r="BZ3" s="198">
        <v>77</v>
      </c>
      <c r="CA3" s="198">
        <v>78</v>
      </c>
      <c r="CB3" s="198">
        <v>79</v>
      </c>
      <c r="CC3" s="198">
        <v>80</v>
      </c>
      <c r="CD3" s="198">
        <v>81</v>
      </c>
      <c r="CE3" s="198">
        <v>82</v>
      </c>
      <c r="CF3" s="198">
        <v>83</v>
      </c>
      <c r="CG3" s="198">
        <v>84</v>
      </c>
      <c r="CH3" s="198">
        <v>85</v>
      </c>
      <c r="CI3" s="198">
        <v>86</v>
      </c>
      <c r="CJ3" s="198">
        <v>87</v>
      </c>
      <c r="CK3" s="198">
        <v>88</v>
      </c>
      <c r="CL3" s="198">
        <v>89</v>
      </c>
      <c r="CM3" s="81">
        <f t="shared" ref="CM3:CN3" si="0">COUNTIF(CM7:CM37,8)+COUNTIF(CM7:CM37,4)/2</f>
        <v>0</v>
      </c>
      <c r="CN3" s="81">
        <f t="shared" si="0"/>
        <v>2.5</v>
      </c>
    </row>
    <row r="4" spans="1:95" s="3" customFormat="1" ht="21" customHeight="1" thickBot="1" x14ac:dyDescent="0.25">
      <c r="K4" s="25">
        <f>IF(C37="",D37+1,C37+1)</f>
        <v>43983</v>
      </c>
      <c r="S4" s="25">
        <f>IF(K37="",L37+1,K37+1)</f>
        <v>44013</v>
      </c>
      <c r="AA4" s="25">
        <f>IF(S37="",T37+1,S37+1)</f>
        <v>44044</v>
      </c>
      <c r="AI4" s="25">
        <f>IF(AA37="",AB37+1,AA37+1)</f>
        <v>44075</v>
      </c>
      <c r="AQ4" s="25">
        <f>IF(AI37="",AJ37+1,AI37+1)</f>
        <v>44105</v>
      </c>
      <c r="AY4" s="25">
        <f>IF(AQ37="",AR37+1,AQ37+1)</f>
        <v>44136</v>
      </c>
      <c r="BG4" s="25">
        <f>IF(AY37="",AZ37+1,AY37+1)</f>
        <v>44166</v>
      </c>
      <c r="BO4" s="25">
        <f>IF(BG37="",BH37+1,BG37+60)</f>
        <v>44256</v>
      </c>
      <c r="BW4" s="25">
        <f>IF(BO37="",BP37+1,BO37+92)</f>
        <v>44378</v>
      </c>
      <c r="CE4" s="25">
        <f>IF(BW37="",BX37+1,BW37+93)</f>
        <v>44501</v>
      </c>
      <c r="CM4" s="25">
        <f>IF(CE37="",CF37+1,CE37+1)</f>
        <v>44531</v>
      </c>
    </row>
    <row r="5" spans="1:95" s="80" customFormat="1" ht="20.25" customHeight="1" thickBot="1" x14ac:dyDescent="0.25">
      <c r="B5" s="254" t="s">
        <v>28</v>
      </c>
      <c r="C5" s="310">
        <v>44805</v>
      </c>
      <c r="D5" s="313"/>
      <c r="E5" s="313"/>
      <c r="F5" s="313"/>
      <c r="G5" s="313"/>
      <c r="H5" s="313"/>
      <c r="I5" s="313"/>
      <c r="J5" s="314"/>
      <c r="K5" s="310">
        <v>44835</v>
      </c>
      <c r="L5" s="313"/>
      <c r="M5" s="313"/>
      <c r="N5" s="313"/>
      <c r="O5" s="313"/>
      <c r="P5" s="313"/>
      <c r="Q5" s="313"/>
      <c r="R5" s="314"/>
      <c r="S5" s="310">
        <v>44866</v>
      </c>
      <c r="T5" s="313"/>
      <c r="U5" s="313"/>
      <c r="V5" s="313"/>
      <c r="W5" s="313"/>
      <c r="X5" s="313"/>
      <c r="Y5" s="313"/>
      <c r="Z5" s="314"/>
      <c r="AA5" s="310">
        <v>44896</v>
      </c>
      <c r="AB5" s="305"/>
      <c r="AC5" s="305"/>
      <c r="AD5" s="305"/>
      <c r="AE5" s="305"/>
      <c r="AF5" s="305"/>
      <c r="AG5" s="305"/>
      <c r="AH5" s="311"/>
      <c r="AI5" s="310">
        <v>44927</v>
      </c>
      <c r="AJ5" s="305"/>
      <c r="AK5" s="305"/>
      <c r="AL5" s="305"/>
      <c r="AM5" s="305"/>
      <c r="AN5" s="305"/>
      <c r="AO5" s="305"/>
      <c r="AP5" s="311"/>
      <c r="AQ5" s="310">
        <v>44958</v>
      </c>
      <c r="AR5" s="305"/>
      <c r="AS5" s="305"/>
      <c r="AT5" s="305"/>
      <c r="AU5" s="305"/>
      <c r="AV5" s="305"/>
      <c r="AW5" s="305"/>
      <c r="AX5" s="311"/>
      <c r="AY5" s="310">
        <v>44986</v>
      </c>
      <c r="AZ5" s="305"/>
      <c r="BA5" s="305"/>
      <c r="BB5" s="305"/>
      <c r="BC5" s="305"/>
      <c r="BD5" s="305"/>
      <c r="BE5" s="305"/>
      <c r="BF5" s="311"/>
      <c r="BG5" s="310">
        <v>45017</v>
      </c>
      <c r="BH5" s="305"/>
      <c r="BI5" s="305"/>
      <c r="BJ5" s="305"/>
      <c r="BK5" s="305"/>
      <c r="BL5" s="305"/>
      <c r="BM5" s="305"/>
      <c r="BN5" s="311"/>
      <c r="BO5" s="310">
        <v>45047</v>
      </c>
      <c r="BP5" s="313"/>
      <c r="BQ5" s="313"/>
      <c r="BR5" s="313"/>
      <c r="BS5" s="313"/>
      <c r="BT5" s="313"/>
      <c r="BU5" s="313"/>
      <c r="BV5" s="314"/>
      <c r="BW5" s="310">
        <v>45078</v>
      </c>
      <c r="BX5" s="313"/>
      <c r="BY5" s="313"/>
      <c r="BZ5" s="313"/>
      <c r="CA5" s="313"/>
      <c r="CB5" s="313"/>
      <c r="CC5" s="313"/>
      <c r="CD5" s="314"/>
      <c r="CE5" s="310">
        <v>45108</v>
      </c>
      <c r="CF5" s="305"/>
      <c r="CG5" s="305"/>
      <c r="CH5" s="305"/>
      <c r="CI5" s="305"/>
      <c r="CJ5" s="305"/>
      <c r="CK5" s="305"/>
      <c r="CL5" s="311"/>
      <c r="CM5" s="310">
        <v>44378</v>
      </c>
      <c r="CN5" s="305"/>
    </row>
    <row r="6" spans="1:95" s="80" customFormat="1" ht="20.25" customHeight="1" thickBot="1" x14ac:dyDescent="0.25">
      <c r="B6" s="312"/>
      <c r="C6" s="92" t="s">
        <v>18</v>
      </c>
      <c r="D6" s="93"/>
      <c r="E6" s="140"/>
      <c r="F6" s="95" t="str">
        <f>'Plano Diretor'!$C$26</f>
        <v>GS</v>
      </c>
      <c r="G6" s="95" t="str">
        <f>'Plano Diretor'!$C$27</f>
        <v>ML</v>
      </c>
      <c r="H6" s="95" t="str">
        <f>'Plano Diretor'!$C$28</f>
        <v>JA</v>
      </c>
      <c r="I6" s="95" t="str">
        <f>'Plano Diretor'!$C$29</f>
        <v>RA</v>
      </c>
      <c r="J6" s="96">
        <f>'Plano Diretor'!$C$30</f>
        <v>0</v>
      </c>
      <c r="K6" s="97"/>
      <c r="L6" s="98"/>
      <c r="M6" s="140"/>
      <c r="N6" s="95" t="str">
        <f>F6</f>
        <v>GS</v>
      </c>
      <c r="O6" s="95" t="str">
        <f>G6</f>
        <v>ML</v>
      </c>
      <c r="P6" s="95" t="str">
        <f>H6</f>
        <v>JA</v>
      </c>
      <c r="Q6" s="95" t="str">
        <f>I6</f>
        <v>RA</v>
      </c>
      <c r="R6" s="96">
        <f>J6</f>
        <v>0</v>
      </c>
      <c r="S6" s="97"/>
      <c r="T6" s="98"/>
      <c r="U6" s="140"/>
      <c r="V6" s="95" t="str">
        <f>N6</f>
        <v>GS</v>
      </c>
      <c r="W6" s="95" t="str">
        <f>O6</f>
        <v>ML</v>
      </c>
      <c r="X6" s="95" t="str">
        <f>P6</f>
        <v>JA</v>
      </c>
      <c r="Y6" s="95" t="str">
        <f>Q6</f>
        <v>RA</v>
      </c>
      <c r="Z6" s="96">
        <f>R6</f>
        <v>0</v>
      </c>
      <c r="AA6" s="97"/>
      <c r="AB6" s="98"/>
      <c r="AC6" s="140"/>
      <c r="AD6" s="95" t="str">
        <f>V6</f>
        <v>GS</v>
      </c>
      <c r="AE6" s="95" t="str">
        <f>W6</f>
        <v>ML</v>
      </c>
      <c r="AF6" s="95" t="str">
        <f>X6</f>
        <v>JA</v>
      </c>
      <c r="AG6" s="95" t="str">
        <f>Y6</f>
        <v>RA</v>
      </c>
      <c r="AH6" s="96">
        <f>Z6</f>
        <v>0</v>
      </c>
      <c r="AI6" s="97"/>
      <c r="AJ6" s="98"/>
      <c r="AK6" s="140"/>
      <c r="AL6" s="95" t="str">
        <f>AD6</f>
        <v>GS</v>
      </c>
      <c r="AM6" s="95" t="str">
        <f>AE6</f>
        <v>ML</v>
      </c>
      <c r="AN6" s="95" t="str">
        <f>AF6</f>
        <v>JA</v>
      </c>
      <c r="AO6" s="95" t="str">
        <f>AG6</f>
        <v>RA</v>
      </c>
      <c r="AP6" s="96">
        <f>AH6</f>
        <v>0</v>
      </c>
      <c r="AQ6" s="97"/>
      <c r="AR6" s="98"/>
      <c r="AS6" s="140"/>
      <c r="AT6" s="95" t="str">
        <f>AL6</f>
        <v>GS</v>
      </c>
      <c r="AU6" s="95" t="str">
        <f>AM6</f>
        <v>ML</v>
      </c>
      <c r="AV6" s="95" t="str">
        <f>AN6</f>
        <v>JA</v>
      </c>
      <c r="AW6" s="95" t="str">
        <f>AO6</f>
        <v>RA</v>
      </c>
      <c r="AX6" s="96">
        <f>AP6</f>
        <v>0</v>
      </c>
      <c r="AY6" s="97"/>
      <c r="AZ6" s="98"/>
      <c r="BA6" s="140"/>
      <c r="BB6" s="95" t="str">
        <f>AT6</f>
        <v>GS</v>
      </c>
      <c r="BC6" s="95" t="str">
        <f>AU6</f>
        <v>ML</v>
      </c>
      <c r="BD6" s="95" t="str">
        <f>AV6</f>
        <v>JA</v>
      </c>
      <c r="BE6" s="95" t="str">
        <f>AW6</f>
        <v>RA</v>
      </c>
      <c r="BF6" s="96">
        <f>AX6</f>
        <v>0</v>
      </c>
      <c r="BG6" s="97"/>
      <c r="BH6" s="98"/>
      <c r="BI6" s="140"/>
      <c r="BJ6" s="95" t="str">
        <f>BB6</f>
        <v>GS</v>
      </c>
      <c r="BK6" s="95" t="str">
        <f>BC6</f>
        <v>ML</v>
      </c>
      <c r="BL6" s="95" t="str">
        <f>BD6</f>
        <v>JA</v>
      </c>
      <c r="BM6" s="95" t="str">
        <f>BE6</f>
        <v>RA</v>
      </c>
      <c r="BN6" s="96">
        <f>BF6</f>
        <v>0</v>
      </c>
      <c r="BO6" s="97"/>
      <c r="BP6" s="98"/>
      <c r="BQ6" s="140"/>
      <c r="BR6" s="95" t="str">
        <f>BJ6</f>
        <v>GS</v>
      </c>
      <c r="BS6" s="95" t="str">
        <f>BK6</f>
        <v>ML</v>
      </c>
      <c r="BT6" s="95" t="str">
        <f>BL6</f>
        <v>JA</v>
      </c>
      <c r="BU6" s="95" t="str">
        <f>BM6</f>
        <v>RA</v>
      </c>
      <c r="BV6" s="96">
        <f>BN6</f>
        <v>0</v>
      </c>
      <c r="BW6" s="97"/>
      <c r="BX6" s="98"/>
      <c r="BY6" s="140"/>
      <c r="BZ6" s="95" t="str">
        <f>BR6</f>
        <v>GS</v>
      </c>
      <c r="CA6" s="95" t="str">
        <f>BS6</f>
        <v>ML</v>
      </c>
      <c r="CB6" s="95" t="str">
        <f>BT6</f>
        <v>JA</v>
      </c>
      <c r="CC6" s="95" t="str">
        <f>BU6</f>
        <v>RA</v>
      </c>
      <c r="CD6" s="96">
        <f>BV6</f>
        <v>0</v>
      </c>
      <c r="CE6" s="97"/>
      <c r="CF6" s="98"/>
      <c r="CG6" s="140"/>
      <c r="CH6" s="95" t="str">
        <f>BZ6</f>
        <v>GS</v>
      </c>
      <c r="CI6" s="95" t="str">
        <f>CA6</f>
        <v>ML</v>
      </c>
      <c r="CJ6" s="95" t="str">
        <f>CB6</f>
        <v>JA</v>
      </c>
      <c r="CK6" s="95" t="str">
        <f>CC6</f>
        <v>RA</v>
      </c>
      <c r="CL6" s="96">
        <f>CD6</f>
        <v>0</v>
      </c>
      <c r="CM6" s="97"/>
      <c r="CN6" s="98"/>
      <c r="CO6" s="80" t="s">
        <v>109</v>
      </c>
    </row>
    <row r="7" spans="1:95" s="80" customFormat="1" ht="20.25" customHeight="1" thickBot="1" x14ac:dyDescent="0.25">
      <c r="B7" s="29">
        <v>1</v>
      </c>
      <c r="C7" s="30">
        <v>43952</v>
      </c>
      <c r="D7" s="109">
        <f t="shared" ref="D7:D37" si="1">IF(AND(C7="",OR(D6=C5,D5=C4)),D6,IF(C7="",C6,WEEKDAY(C7)))</f>
        <v>6</v>
      </c>
      <c r="E7" s="144" t="str">
        <f t="shared" ref="E7:E37" si="2">IF(C7="","",VLOOKUP(D7,$I$49:$J$55,2,FALSE))</f>
        <v>S</v>
      </c>
      <c r="G7" s="187"/>
      <c r="H7" s="187"/>
      <c r="I7" s="187"/>
      <c r="J7" s="187"/>
      <c r="K7" s="145">
        <f>K4</f>
        <v>43983</v>
      </c>
      <c r="L7" s="108">
        <f>IF(AND(K7="",OR(L6=K5,L5=K4)),L6,IF(K7="",K6,WEEKDAY(K7)))</f>
        <v>2</v>
      </c>
      <c r="M7" s="31" t="str">
        <f t="shared" ref="M7:M37" si="3">IF(K7="","",VLOOKUP(L7,$I$49:$J$55,2,FALSE))</f>
        <v>S</v>
      </c>
      <c r="N7" s="187"/>
      <c r="O7" s="187"/>
      <c r="P7" s="84">
        <v>8</v>
      </c>
      <c r="Q7" s="228"/>
      <c r="R7" s="187"/>
      <c r="S7" s="145">
        <f>S4</f>
        <v>44013</v>
      </c>
      <c r="T7" s="108">
        <f>IF(AND(S7="",OR(T6=S5,T5=S4)),T6,IF(S7="",S6,WEEKDAY(S7)))</f>
        <v>4</v>
      </c>
      <c r="U7" s="31" t="str">
        <f t="shared" ref="U7:U37" si="4">IF(S7="","",VLOOKUP(T7,$I$49:$J$55,2,FALSE))</f>
        <v>Q</v>
      </c>
      <c r="V7" s="187"/>
      <c r="W7" s="187"/>
      <c r="X7" s="187"/>
      <c r="Y7" s="187"/>
      <c r="Z7" s="187"/>
      <c r="AA7" s="145">
        <f>AA4</f>
        <v>44044</v>
      </c>
      <c r="AB7" s="108">
        <f>IF(AA7="","",WEEKDAY(AA7))</f>
        <v>7</v>
      </c>
      <c r="AC7" s="31" t="str">
        <f t="shared" ref="AC7:AC37" si="5">IF(AA7="","",VLOOKUP(AB7,$I$49:$J$55,2,FALSE))</f>
        <v>S</v>
      </c>
      <c r="AD7" s="187"/>
      <c r="AE7" s="187"/>
      <c r="AF7" s="187"/>
      <c r="AG7" s="187"/>
      <c r="AH7" s="187"/>
      <c r="AI7" s="145">
        <f>AI4</f>
        <v>44075</v>
      </c>
      <c r="AJ7" s="108">
        <f>IF(AI7="","",WEEKDAY(AI7))</f>
        <v>3</v>
      </c>
      <c r="AK7" s="31" t="str">
        <f t="shared" ref="AK7:AK37" si="6">IF(AI7="","",VLOOKUP(AJ7,$I$49:$J$55,2,FALSE))</f>
        <v>T</v>
      </c>
      <c r="AL7" s="187"/>
      <c r="AM7" s="187"/>
      <c r="AN7" s="187"/>
      <c r="AO7" s="187"/>
      <c r="AP7" s="187"/>
      <c r="AQ7" s="145">
        <f>AQ4</f>
        <v>44105</v>
      </c>
      <c r="AR7" s="108">
        <f>IF(AQ7="","",WEEKDAY(AQ7))</f>
        <v>5</v>
      </c>
      <c r="AS7" s="31" t="str">
        <f t="shared" ref="AS7:AS37" si="7">IF(AQ7="","",VLOOKUP(AR7,$I$49:$J$55,2,FALSE))</f>
        <v>Q</v>
      </c>
      <c r="AT7" s="187"/>
      <c r="AU7" s="187"/>
      <c r="AV7" s="187"/>
      <c r="AW7" s="187"/>
      <c r="AX7" s="187"/>
      <c r="AY7" s="145">
        <f>AY4</f>
        <v>44136</v>
      </c>
      <c r="AZ7" s="108">
        <f>IF(AY7="","",WEEKDAY(AY7))</f>
        <v>1</v>
      </c>
      <c r="BA7" s="31" t="str">
        <f t="shared" ref="BA7:BA37" si="8">IF(AY7="","",VLOOKUP(AZ7,$I$49:$J$55,2,FALSE))</f>
        <v>D</v>
      </c>
      <c r="BB7" s="187"/>
      <c r="BC7" s="187"/>
      <c r="BD7" s="187"/>
      <c r="BE7" s="187"/>
      <c r="BF7" s="187"/>
      <c r="BG7" s="145">
        <f>BG4</f>
        <v>44166</v>
      </c>
      <c r="BH7" s="108">
        <f>IF(BG7="","",WEEKDAY(BG7))</f>
        <v>3</v>
      </c>
      <c r="BI7" s="31" t="str">
        <f t="shared" ref="BI7:BI37" si="9">IF(BG7="","",VLOOKUP(BH7,$I$49:$J$55,2,FALSE))</f>
        <v>T</v>
      </c>
      <c r="BJ7" s="187"/>
      <c r="BK7" s="187"/>
      <c r="BL7" s="187"/>
      <c r="BM7" s="187"/>
      <c r="BN7" s="187"/>
      <c r="BO7" s="145">
        <f>BO4</f>
        <v>44256</v>
      </c>
      <c r="BP7" s="108">
        <f>IF(BO7="","",WEEKDAY(BO7))</f>
        <v>2</v>
      </c>
      <c r="BQ7" s="31" t="str">
        <f t="shared" ref="BQ7:BQ37" si="10">IF(BO7="","",VLOOKUP(BP7,$I$49:$J$55,2,FALSE))</f>
        <v>S</v>
      </c>
      <c r="BR7" s="187"/>
      <c r="BS7" s="187"/>
      <c r="BT7" s="187"/>
      <c r="BU7" s="187"/>
      <c r="BV7" s="187"/>
      <c r="BW7" s="145">
        <f>BW4</f>
        <v>44378</v>
      </c>
      <c r="BX7" s="108">
        <f>IF(BW7="","",WEEKDAY(BW7))</f>
        <v>5</v>
      </c>
      <c r="BY7" s="31" t="str">
        <f t="shared" ref="BY7:BY37" si="11">IF(BW7="","",VLOOKUP(BX7,$I$49:$J$55,2,FALSE))</f>
        <v>Q</v>
      </c>
      <c r="BZ7" s="187"/>
      <c r="CA7" s="187"/>
      <c r="CB7" s="187"/>
      <c r="CC7" s="187"/>
      <c r="CD7" s="187"/>
      <c r="CE7" s="145">
        <f>CE4</f>
        <v>44501</v>
      </c>
      <c r="CF7" s="108">
        <f>IF(CE7="","",WEEKDAY(CE7))</f>
        <v>2</v>
      </c>
      <c r="CG7" s="31" t="str">
        <f t="shared" ref="CG7:CG37" si="12">IF(CE7="","",VLOOKUP(CF7,$I$49:$J$55,2,FALSE))</f>
        <v>S</v>
      </c>
      <c r="CH7" s="187"/>
      <c r="CI7" s="187"/>
      <c r="CJ7" s="187"/>
      <c r="CK7" s="187"/>
      <c r="CL7" s="187"/>
      <c r="CM7" s="145">
        <f>CM4</f>
        <v>44531</v>
      </c>
      <c r="CN7" s="108">
        <f>IF(CM7="","",WEEKDAY(CM7))</f>
        <v>4</v>
      </c>
      <c r="CO7" s="80" t="s">
        <v>109</v>
      </c>
    </row>
    <row r="8" spans="1:95" s="80" customFormat="1" ht="20.25" customHeight="1" thickBot="1" x14ac:dyDescent="0.25">
      <c r="B8" s="32">
        <v>2</v>
      </c>
      <c r="C8" s="33">
        <f t="shared" ref="C8:C37" si="13">IF(C7="","",IF(MONTH(C7+1)&gt;MONTH(C7),"",C7+1))</f>
        <v>43953</v>
      </c>
      <c r="D8" s="142">
        <f t="shared" si="1"/>
        <v>7</v>
      </c>
      <c r="E8" s="146" t="str">
        <f t="shared" si="2"/>
        <v>S</v>
      </c>
      <c r="G8" s="188"/>
      <c r="H8" s="188"/>
      <c r="I8" s="188"/>
      <c r="J8" s="188"/>
      <c r="K8" s="141">
        <f t="shared" ref="K8:K37" si="14">IF(K7="","",IF(MONTH(K7+1)&gt;MONTH(K7),"",K7+1))</f>
        <v>43984</v>
      </c>
      <c r="L8" s="34">
        <f t="shared" ref="L8:L36" si="15">IF(AND(K8="",OR(L7=K6,L6=K5)),L7,IF(K8="",K7,WEEKDAY(K8)))</f>
        <v>3</v>
      </c>
      <c r="M8" s="35" t="str">
        <f t="shared" si="3"/>
        <v>T</v>
      </c>
      <c r="N8" s="187"/>
      <c r="O8" s="87" t="s">
        <v>127</v>
      </c>
      <c r="P8" s="187"/>
      <c r="Q8" s="187"/>
      <c r="R8" s="187"/>
      <c r="S8" s="141">
        <f t="shared" ref="S8:S37" si="16">IF(S7="","",IF(MONTH(S7+1)&gt;MONTH(S7),"",S7+1))</f>
        <v>44014</v>
      </c>
      <c r="T8" s="34">
        <f t="shared" ref="T8:T37" si="17">IF(AND(S8="",OR(T7=S6,T6=S5)),T7,IF(S8="",S7,WEEKDAY(S8)))</f>
        <v>5</v>
      </c>
      <c r="U8" s="35" t="str">
        <f t="shared" si="4"/>
        <v>Q</v>
      </c>
      <c r="V8" s="188"/>
      <c r="W8" s="188"/>
      <c r="X8" s="187"/>
      <c r="Y8" s="188"/>
      <c r="Z8" s="188"/>
      <c r="AA8" s="141">
        <f>IF(AA7="","",IF(MONTH(AA7+1)&gt;MONTH(AA7),"",AA7+1))</f>
        <v>44045</v>
      </c>
      <c r="AB8" s="34">
        <f t="shared" ref="AB8:AB37" si="18">IF(AND(AA8="",OR(AB7=AA6,AB6=AA5)),AB7,IF(AA8="",AA7,WEEKDAY(AA8)))</f>
        <v>1</v>
      </c>
      <c r="AC8" s="35" t="str">
        <f t="shared" si="5"/>
        <v>D</v>
      </c>
      <c r="AD8" s="187"/>
      <c r="AE8" s="187"/>
      <c r="AF8" s="187"/>
      <c r="AG8" s="187"/>
      <c r="AH8" s="188"/>
      <c r="AI8" s="141">
        <f t="shared" ref="AI8:AI37" si="19">IF(AI7="","",IF(MONTH(AI7+1)&gt;MONTH(AI7),"",AI7+1))</f>
        <v>44076</v>
      </c>
      <c r="AJ8" s="34">
        <f t="shared" ref="AJ8:AJ37" si="20">IF(AND(AI8="",OR(AJ7=AI6,AJ6=AI5)),AJ7,IF(AI8="",AI7,WEEKDAY(AI8)))</f>
        <v>4</v>
      </c>
      <c r="AK8" s="35" t="str">
        <f t="shared" si="6"/>
        <v>Q</v>
      </c>
      <c r="AL8" s="188"/>
      <c r="AM8" s="188"/>
      <c r="AN8" s="188"/>
      <c r="AO8" s="188"/>
      <c r="AP8" s="188"/>
      <c r="AQ8" s="141">
        <f t="shared" ref="AQ8:AQ37" si="21">IF(AQ7="","",IF(MONTH(AQ7+1)&gt;MONTH(AQ7),"",AQ7+1))</f>
        <v>44106</v>
      </c>
      <c r="AR8" s="34">
        <f t="shared" ref="AR8:AR37" si="22">IF(AND(AQ8="",OR(AR7=AQ6,AR6=AQ5)),AR7,IF(AQ8="",AQ7,WEEKDAY(AQ8)))</f>
        <v>6</v>
      </c>
      <c r="AS8" s="35" t="str">
        <f t="shared" si="7"/>
        <v>S</v>
      </c>
      <c r="AT8" s="188"/>
      <c r="AU8" s="188"/>
      <c r="AV8" s="188"/>
      <c r="AW8" s="188"/>
      <c r="AX8" s="188"/>
      <c r="AY8" s="141">
        <f t="shared" ref="AY8:AY37" si="23">IF(AY7="","",IF(MONTH(AY7+1)&gt;MONTH(AY7),"",AY7+1))</f>
        <v>44137</v>
      </c>
      <c r="AZ8" s="34">
        <f t="shared" ref="AZ8:AZ37" si="24">IF(AND(AY8="",OR(AZ7=AY6,AZ6=AY5)),AZ7,IF(AY8="",AY7,WEEKDAY(AY8)))</f>
        <v>2</v>
      </c>
      <c r="BA8" s="35" t="str">
        <f t="shared" si="8"/>
        <v>S</v>
      </c>
      <c r="BB8" s="188"/>
      <c r="BC8" s="188"/>
      <c r="BD8" s="188"/>
      <c r="BE8" s="188"/>
      <c r="BF8" s="188"/>
      <c r="BG8" s="141">
        <f t="shared" ref="BG8:BG37" si="25">IF(BG7="","",IF(MONTH(BG7+1)&gt;MONTH(BG7),"",BG7+1))</f>
        <v>44167</v>
      </c>
      <c r="BH8" s="34">
        <f t="shared" ref="BH8:BH37" si="26">IF(AND(BG8="",OR(BH7=BG6,BH6=BG5)),BH7,IF(BG8="",BG7,WEEKDAY(BG8)))</f>
        <v>4</v>
      </c>
      <c r="BI8" s="35" t="str">
        <f t="shared" si="9"/>
        <v>Q</v>
      </c>
      <c r="BJ8" s="188"/>
      <c r="BK8" s="188"/>
      <c r="BL8" s="188"/>
      <c r="BM8" s="188"/>
      <c r="BN8" s="188"/>
      <c r="BO8" s="141">
        <f t="shared" ref="BO8:BO37" si="27">IF(BO7="","",IF(MONTH(BO7+1)&gt;MONTH(BO7),"",BO7+1))</f>
        <v>44257</v>
      </c>
      <c r="BP8" s="34">
        <f t="shared" ref="BP8:BP37" si="28">IF(AND(BO8="",OR(BP7=BO6,BP6=BO5)),BP7,IF(BO8="",BO7,WEEKDAY(BO8)))</f>
        <v>3</v>
      </c>
      <c r="BQ8" s="35" t="str">
        <f t="shared" si="10"/>
        <v>T</v>
      </c>
      <c r="BR8" s="188"/>
      <c r="BS8" s="188"/>
      <c r="BT8" s="188"/>
      <c r="BU8" s="188"/>
      <c r="BV8" s="188"/>
      <c r="BW8" s="141">
        <f t="shared" ref="BW8:BW37" si="29">IF(BW7="","",IF(MONTH(BW7+1)&gt;MONTH(BW7),"",BW7+1))</f>
        <v>44379</v>
      </c>
      <c r="BX8" s="34">
        <f t="shared" ref="BX8:BX37" si="30">IF(AND(BW8="",OR(BX7=BW6,BX6=BW5)),BX7,IF(BW8="",BW7,WEEKDAY(BW8)))</f>
        <v>6</v>
      </c>
      <c r="BY8" s="35" t="str">
        <f t="shared" si="11"/>
        <v>S</v>
      </c>
      <c r="BZ8" s="188"/>
      <c r="CA8" s="188"/>
      <c r="CB8" s="188"/>
      <c r="CC8" s="188"/>
      <c r="CD8" s="188"/>
      <c r="CE8" s="141">
        <f t="shared" ref="CE8:CE37" si="31">IF(CE7="","",IF(MONTH(CE7+1)&gt;MONTH(CE7),"",CE7+1))</f>
        <v>44502</v>
      </c>
      <c r="CF8" s="34">
        <f t="shared" ref="CF8:CF37" si="32">IF(AND(CE8="",OR(CF7=CE6,CF6=CE5)),CF7,IF(CE8="",CE7,WEEKDAY(CE8)))</f>
        <v>3</v>
      </c>
      <c r="CG8" s="35" t="str">
        <f t="shared" si="12"/>
        <v>T</v>
      </c>
      <c r="CH8" s="188"/>
      <c r="CI8" s="188"/>
      <c r="CJ8" s="188"/>
      <c r="CK8" s="188"/>
      <c r="CL8" s="188"/>
      <c r="CM8" s="141">
        <f t="shared" ref="CM8:CM37" si="33">IF(CM7="","",IF(MONTH(CM7+1)&gt;MONTH(CM7),"",CM7+1))</f>
        <v>44532</v>
      </c>
      <c r="CN8" s="34">
        <f t="shared" ref="CN8:CN37" si="34">IF(AND(CM8="",OR(CN7=CM6,CN6=CM5)),CN7,IF(CM8="",CM7,WEEKDAY(CM8)))</f>
        <v>5</v>
      </c>
      <c r="CO8" s="80" t="s">
        <v>109</v>
      </c>
    </row>
    <row r="9" spans="1:95" s="80" customFormat="1" ht="20.25" customHeight="1" thickBot="1" x14ac:dyDescent="0.25">
      <c r="B9" s="32">
        <v>3</v>
      </c>
      <c r="C9" s="33">
        <f t="shared" si="13"/>
        <v>43954</v>
      </c>
      <c r="D9" s="142">
        <f t="shared" si="1"/>
        <v>1</v>
      </c>
      <c r="E9" s="146" t="str">
        <f t="shared" si="2"/>
        <v>D</v>
      </c>
      <c r="F9" s="188"/>
      <c r="G9" s="188"/>
      <c r="H9" s="188"/>
      <c r="I9" s="188"/>
      <c r="J9" s="188"/>
      <c r="K9" s="141">
        <f t="shared" si="14"/>
        <v>43985</v>
      </c>
      <c r="L9" s="34">
        <f t="shared" si="15"/>
        <v>4</v>
      </c>
      <c r="M9" s="35" t="str">
        <f t="shared" si="3"/>
        <v>Q</v>
      </c>
      <c r="N9" s="187"/>
      <c r="O9" s="187"/>
      <c r="Q9" s="175" t="s">
        <v>124</v>
      </c>
      <c r="R9" s="187"/>
      <c r="S9" s="141">
        <f t="shared" si="16"/>
        <v>44015</v>
      </c>
      <c r="T9" s="34">
        <f t="shared" si="17"/>
        <v>6</v>
      </c>
      <c r="U9" s="35" t="str">
        <f t="shared" si="4"/>
        <v>S</v>
      </c>
      <c r="V9" s="188"/>
      <c r="W9" s="188"/>
      <c r="X9" s="187"/>
      <c r="Y9" s="188"/>
      <c r="Z9" s="188"/>
      <c r="AA9" s="141">
        <f t="shared" ref="AA9:AA37" si="35">IF(AA8="","",IF(MONTH(AA8+1)&gt;MONTH(AA8),"",AA8+1))</f>
        <v>44046</v>
      </c>
      <c r="AB9" s="34">
        <f t="shared" si="18"/>
        <v>2</v>
      </c>
      <c r="AC9" s="35" t="str">
        <f t="shared" si="5"/>
        <v>S</v>
      </c>
      <c r="AD9" s="187"/>
      <c r="AE9" s="187"/>
      <c r="AF9" s="187"/>
      <c r="AG9" s="187"/>
      <c r="AH9" s="188"/>
      <c r="AI9" s="141">
        <f t="shared" si="19"/>
        <v>44077</v>
      </c>
      <c r="AJ9" s="34">
        <f t="shared" si="20"/>
        <v>5</v>
      </c>
      <c r="AK9" s="35" t="str">
        <f t="shared" si="6"/>
        <v>Q</v>
      </c>
      <c r="AL9" s="188"/>
      <c r="AM9" s="188"/>
      <c r="AN9" s="188"/>
      <c r="AO9" s="188"/>
      <c r="AP9" s="188"/>
      <c r="AQ9" s="141">
        <f t="shared" si="21"/>
        <v>44107</v>
      </c>
      <c r="AR9" s="34">
        <f t="shared" si="22"/>
        <v>7</v>
      </c>
      <c r="AS9" s="35" t="str">
        <f t="shared" si="7"/>
        <v>S</v>
      </c>
      <c r="AT9" s="188"/>
      <c r="AU9" s="188"/>
      <c r="AV9" s="188"/>
      <c r="AW9" s="188"/>
      <c r="AX9" s="188"/>
      <c r="AY9" s="141">
        <f t="shared" si="23"/>
        <v>44138</v>
      </c>
      <c r="AZ9" s="34">
        <f t="shared" si="24"/>
        <v>3</v>
      </c>
      <c r="BA9" s="35" t="str">
        <f t="shared" si="8"/>
        <v>T</v>
      </c>
      <c r="BB9" s="188"/>
      <c r="BC9" s="188"/>
      <c r="BD9" s="188"/>
      <c r="BE9" s="188"/>
      <c r="BF9" s="188"/>
      <c r="BG9" s="141">
        <f t="shared" si="25"/>
        <v>44168</v>
      </c>
      <c r="BH9" s="34">
        <f t="shared" si="26"/>
        <v>5</v>
      </c>
      <c r="BI9" s="35" t="str">
        <f t="shared" si="9"/>
        <v>Q</v>
      </c>
      <c r="BJ9" s="188"/>
      <c r="BK9" s="188"/>
      <c r="BL9" s="188"/>
      <c r="BM9" s="188"/>
      <c r="BN9" s="188"/>
      <c r="BO9" s="141">
        <f t="shared" si="27"/>
        <v>44258</v>
      </c>
      <c r="BP9" s="34">
        <f t="shared" si="28"/>
        <v>4</v>
      </c>
      <c r="BQ9" s="35" t="str">
        <f t="shared" si="10"/>
        <v>Q</v>
      </c>
      <c r="BR9" s="188"/>
      <c r="BS9" s="188"/>
      <c r="BT9" s="188"/>
      <c r="BU9" s="188"/>
      <c r="BV9" s="188"/>
      <c r="BW9" s="141">
        <f t="shared" si="29"/>
        <v>44380</v>
      </c>
      <c r="BX9" s="34">
        <f t="shared" si="30"/>
        <v>7</v>
      </c>
      <c r="BY9" s="35" t="str">
        <f t="shared" si="11"/>
        <v>S</v>
      </c>
      <c r="BZ9" s="188"/>
      <c r="CA9" s="188"/>
      <c r="CB9" s="188"/>
      <c r="CC9" s="188"/>
      <c r="CD9" s="188"/>
      <c r="CE9" s="141">
        <f t="shared" si="31"/>
        <v>44503</v>
      </c>
      <c r="CF9" s="34">
        <f t="shared" si="32"/>
        <v>4</v>
      </c>
      <c r="CG9" s="35" t="str">
        <f t="shared" si="12"/>
        <v>Q</v>
      </c>
      <c r="CH9" s="188"/>
      <c r="CI9" s="188"/>
      <c r="CJ9" s="188"/>
      <c r="CK9" s="188"/>
      <c r="CL9" s="188"/>
      <c r="CM9" s="141">
        <f t="shared" si="33"/>
        <v>44533</v>
      </c>
      <c r="CN9" s="34">
        <f t="shared" si="34"/>
        <v>6</v>
      </c>
      <c r="CO9" s="80" t="s">
        <v>109</v>
      </c>
      <c r="CQ9" s="203" t="s">
        <v>119</v>
      </c>
    </row>
    <row r="10" spans="1:95" s="80" customFormat="1" ht="20.25" customHeight="1" thickBot="1" x14ac:dyDescent="0.25">
      <c r="B10" s="32">
        <v>4</v>
      </c>
      <c r="C10" s="33">
        <f t="shared" si="13"/>
        <v>43955</v>
      </c>
      <c r="D10" s="142">
        <f t="shared" si="1"/>
        <v>2</v>
      </c>
      <c r="E10" s="146" t="str">
        <f t="shared" si="2"/>
        <v>S</v>
      </c>
      <c r="F10" s="188"/>
      <c r="G10" s="188"/>
      <c r="H10" s="188"/>
      <c r="I10" s="188"/>
      <c r="J10" s="188"/>
      <c r="K10" s="141">
        <f t="shared" si="14"/>
        <v>43986</v>
      </c>
      <c r="L10" s="34">
        <f t="shared" si="15"/>
        <v>5</v>
      </c>
      <c r="M10" s="35" t="str">
        <f t="shared" si="3"/>
        <v>Q</v>
      </c>
      <c r="N10" s="187"/>
      <c r="O10" s="187"/>
      <c r="P10" s="188"/>
      <c r="Q10" s="187"/>
      <c r="R10" s="187"/>
      <c r="S10" s="141">
        <f t="shared" si="16"/>
        <v>44016</v>
      </c>
      <c r="T10" s="34">
        <f t="shared" si="17"/>
        <v>7</v>
      </c>
      <c r="U10" s="35" t="str">
        <f t="shared" si="4"/>
        <v>S</v>
      </c>
      <c r="V10" s="188"/>
      <c r="W10" s="188"/>
      <c r="X10" s="188"/>
      <c r="Y10" s="188"/>
      <c r="Z10" s="188"/>
      <c r="AA10" s="141">
        <f t="shared" si="35"/>
        <v>44047</v>
      </c>
      <c r="AB10" s="34">
        <f t="shared" si="18"/>
        <v>3</v>
      </c>
      <c r="AC10" s="35" t="str">
        <f t="shared" si="5"/>
        <v>T</v>
      </c>
      <c r="AD10" s="187"/>
      <c r="AE10" s="187"/>
      <c r="AF10" s="187"/>
      <c r="AG10" s="187"/>
      <c r="AH10" s="188"/>
      <c r="AI10" s="141">
        <f t="shared" si="19"/>
        <v>44078</v>
      </c>
      <c r="AJ10" s="34">
        <f t="shared" si="20"/>
        <v>6</v>
      </c>
      <c r="AK10" s="35" t="str">
        <f t="shared" si="6"/>
        <v>S</v>
      </c>
      <c r="AL10" s="188"/>
      <c r="AM10" s="188"/>
      <c r="AN10" s="188"/>
      <c r="AO10" s="188"/>
      <c r="AP10" s="188"/>
      <c r="AQ10" s="141">
        <f t="shared" si="21"/>
        <v>44108</v>
      </c>
      <c r="AR10" s="34">
        <f t="shared" si="22"/>
        <v>1</v>
      </c>
      <c r="AS10" s="35" t="str">
        <f t="shared" si="7"/>
        <v>D</v>
      </c>
      <c r="AT10" s="188"/>
      <c r="AU10" s="188"/>
      <c r="AV10" s="188"/>
      <c r="AW10" s="188"/>
      <c r="AX10" s="188"/>
      <c r="AY10" s="141">
        <f t="shared" si="23"/>
        <v>44139</v>
      </c>
      <c r="AZ10" s="34">
        <f t="shared" si="24"/>
        <v>4</v>
      </c>
      <c r="BA10" s="35" t="str">
        <f t="shared" si="8"/>
        <v>Q</v>
      </c>
      <c r="BB10" s="188"/>
      <c r="BC10" s="188"/>
      <c r="BD10" s="188"/>
      <c r="BE10" s="188"/>
      <c r="BF10" s="188"/>
      <c r="BG10" s="141">
        <f t="shared" si="25"/>
        <v>44169</v>
      </c>
      <c r="BH10" s="34">
        <f t="shared" si="26"/>
        <v>6</v>
      </c>
      <c r="BI10" s="35" t="str">
        <f t="shared" si="9"/>
        <v>S</v>
      </c>
      <c r="BJ10" s="188"/>
      <c r="BK10" s="188"/>
      <c r="BL10" s="188"/>
      <c r="BM10" s="188"/>
      <c r="BN10" s="188"/>
      <c r="BO10" s="141">
        <f t="shared" si="27"/>
        <v>44259</v>
      </c>
      <c r="BP10" s="34">
        <f t="shared" si="28"/>
        <v>5</v>
      </c>
      <c r="BQ10" s="35" t="str">
        <f t="shared" si="10"/>
        <v>Q</v>
      </c>
      <c r="BR10" s="188"/>
      <c r="BS10" s="188"/>
      <c r="BT10" s="188"/>
      <c r="BU10" s="188"/>
      <c r="BV10" s="188"/>
      <c r="BW10" s="141">
        <f t="shared" si="29"/>
        <v>44381</v>
      </c>
      <c r="BX10" s="34">
        <f t="shared" si="30"/>
        <v>1</v>
      </c>
      <c r="BY10" s="35" t="str">
        <f t="shared" si="11"/>
        <v>D</v>
      </c>
      <c r="BZ10" s="188"/>
      <c r="CA10" s="188"/>
      <c r="CB10" s="188"/>
      <c r="CC10" s="188"/>
      <c r="CD10" s="188"/>
      <c r="CE10" s="141">
        <f t="shared" si="31"/>
        <v>44504</v>
      </c>
      <c r="CF10" s="34">
        <f t="shared" si="32"/>
        <v>5</v>
      </c>
      <c r="CG10" s="35" t="str">
        <f t="shared" si="12"/>
        <v>Q</v>
      </c>
      <c r="CH10" s="188"/>
      <c r="CI10" s="188"/>
      <c r="CJ10" s="188"/>
      <c r="CK10" s="188"/>
      <c r="CL10" s="188"/>
      <c r="CM10" s="141">
        <f t="shared" si="33"/>
        <v>44534</v>
      </c>
      <c r="CN10" s="34">
        <f t="shared" si="34"/>
        <v>7</v>
      </c>
      <c r="CO10" s="80" t="s">
        <v>109</v>
      </c>
    </row>
    <row r="11" spans="1:95" s="80" customFormat="1" ht="20.25" customHeight="1" thickBot="1" x14ac:dyDescent="0.25">
      <c r="B11" s="32">
        <v>5</v>
      </c>
      <c r="C11" s="33">
        <f t="shared" si="13"/>
        <v>43956</v>
      </c>
      <c r="D11" s="142">
        <f t="shared" si="1"/>
        <v>3</v>
      </c>
      <c r="E11" s="146" t="str">
        <f t="shared" si="2"/>
        <v>T</v>
      </c>
      <c r="F11" s="188"/>
      <c r="G11" s="188"/>
      <c r="H11" s="188"/>
      <c r="I11" s="188"/>
      <c r="J11" s="188"/>
      <c r="K11" s="141">
        <f t="shared" si="14"/>
        <v>43987</v>
      </c>
      <c r="L11" s="34">
        <f t="shared" si="15"/>
        <v>6</v>
      </c>
      <c r="M11" s="35" t="str">
        <f t="shared" si="3"/>
        <v>S</v>
      </c>
      <c r="N11" s="187"/>
      <c r="O11" s="187"/>
      <c r="P11" s="187"/>
      <c r="Q11" s="187"/>
      <c r="R11" s="187"/>
      <c r="S11" s="141">
        <f t="shared" si="16"/>
        <v>44017</v>
      </c>
      <c r="T11" s="34">
        <f t="shared" si="17"/>
        <v>1</v>
      </c>
      <c r="U11" s="35" t="str">
        <f t="shared" si="4"/>
        <v>D</v>
      </c>
      <c r="V11" s="187"/>
      <c r="W11" s="187"/>
      <c r="X11" s="187"/>
      <c r="Y11" s="187"/>
      <c r="Z11" s="187"/>
      <c r="AA11" s="141">
        <f t="shared" si="35"/>
        <v>44048</v>
      </c>
      <c r="AB11" s="34">
        <f t="shared" si="18"/>
        <v>4</v>
      </c>
      <c r="AC11" s="35" t="str">
        <f t="shared" si="5"/>
        <v>Q</v>
      </c>
      <c r="AD11" s="187"/>
      <c r="AE11" s="187"/>
      <c r="AF11" s="187"/>
      <c r="AG11" s="187"/>
      <c r="AH11" s="188"/>
      <c r="AI11" s="141">
        <f t="shared" si="19"/>
        <v>44079</v>
      </c>
      <c r="AJ11" s="34">
        <f t="shared" si="20"/>
        <v>7</v>
      </c>
      <c r="AK11" s="35" t="str">
        <f t="shared" si="6"/>
        <v>S</v>
      </c>
      <c r="AL11" s="188"/>
      <c r="AM11" s="188"/>
      <c r="AN11" s="188"/>
      <c r="AO11" s="188"/>
      <c r="AP11" s="188"/>
      <c r="AQ11" s="141">
        <f t="shared" si="21"/>
        <v>44109</v>
      </c>
      <c r="AR11" s="34">
        <f t="shared" si="22"/>
        <v>2</v>
      </c>
      <c r="AS11" s="35" t="str">
        <f t="shared" si="7"/>
        <v>S</v>
      </c>
      <c r="AT11" s="188"/>
      <c r="AU11" s="188"/>
      <c r="AV11" s="188"/>
      <c r="AW11" s="188"/>
      <c r="AX11" s="188"/>
      <c r="AY11" s="141">
        <f t="shared" si="23"/>
        <v>44140</v>
      </c>
      <c r="AZ11" s="34">
        <f t="shared" si="24"/>
        <v>5</v>
      </c>
      <c r="BA11" s="35" t="str">
        <f t="shared" si="8"/>
        <v>Q</v>
      </c>
      <c r="BB11" s="188"/>
      <c r="BC11" s="188"/>
      <c r="BD11" s="188"/>
      <c r="BE11" s="188"/>
      <c r="BF11" s="188"/>
      <c r="BG11" s="141">
        <f t="shared" si="25"/>
        <v>44170</v>
      </c>
      <c r="BH11" s="34">
        <f t="shared" si="26"/>
        <v>7</v>
      </c>
      <c r="BI11" s="35" t="str">
        <f t="shared" si="9"/>
        <v>S</v>
      </c>
      <c r="BJ11" s="188"/>
      <c r="BK11" s="188"/>
      <c r="BL11" s="188"/>
      <c r="BM11" s="188"/>
      <c r="BN11" s="188"/>
      <c r="BO11" s="141">
        <f t="shared" si="27"/>
        <v>44260</v>
      </c>
      <c r="BP11" s="34">
        <f t="shared" si="28"/>
        <v>6</v>
      </c>
      <c r="BQ11" s="35" t="str">
        <f t="shared" si="10"/>
        <v>S</v>
      </c>
      <c r="BR11" s="188"/>
      <c r="BS11" s="188"/>
      <c r="BT11" s="188"/>
      <c r="BU11" s="188"/>
      <c r="BV11" s="188"/>
      <c r="BW11" s="141">
        <f t="shared" si="29"/>
        <v>44382</v>
      </c>
      <c r="BX11" s="34">
        <f t="shared" si="30"/>
        <v>2</v>
      </c>
      <c r="BY11" s="35" t="str">
        <f t="shared" si="11"/>
        <v>S</v>
      </c>
      <c r="BZ11" s="188"/>
      <c r="CA11" s="188"/>
      <c r="CB11" s="188"/>
      <c r="CC11" s="188"/>
      <c r="CD11" s="188"/>
      <c r="CE11" s="141">
        <f t="shared" si="31"/>
        <v>44505</v>
      </c>
      <c r="CF11" s="34">
        <f t="shared" si="32"/>
        <v>6</v>
      </c>
      <c r="CG11" s="35" t="str">
        <f t="shared" si="12"/>
        <v>S</v>
      </c>
      <c r="CH11" s="188"/>
      <c r="CI11" s="188"/>
      <c r="CJ11" s="188"/>
      <c r="CK11" s="188"/>
      <c r="CL11" s="188"/>
      <c r="CM11" s="141">
        <f t="shared" si="33"/>
        <v>44535</v>
      </c>
      <c r="CN11" s="34">
        <f t="shared" si="34"/>
        <v>1</v>
      </c>
      <c r="CO11" s="80" t="s">
        <v>109</v>
      </c>
    </row>
    <row r="12" spans="1:95" s="80" customFormat="1" ht="20.25" customHeight="1" thickBot="1" x14ac:dyDescent="0.25">
      <c r="B12" s="32">
        <v>6</v>
      </c>
      <c r="C12" s="33">
        <f t="shared" si="13"/>
        <v>43957</v>
      </c>
      <c r="D12" s="142">
        <f t="shared" si="1"/>
        <v>4</v>
      </c>
      <c r="E12" s="146" t="str">
        <f t="shared" si="2"/>
        <v>Q</v>
      </c>
      <c r="F12" s="188"/>
      <c r="G12" s="188"/>
      <c r="H12" s="188"/>
      <c r="I12" s="188"/>
      <c r="J12" s="188"/>
      <c r="K12" s="141">
        <f t="shared" si="14"/>
        <v>43988</v>
      </c>
      <c r="L12" s="34">
        <f t="shared" si="15"/>
        <v>7</v>
      </c>
      <c r="M12" s="35" t="str">
        <f t="shared" si="3"/>
        <v>S</v>
      </c>
      <c r="N12" s="187"/>
      <c r="O12" s="190"/>
      <c r="P12" s="187"/>
      <c r="Q12" s="187"/>
      <c r="R12" s="187"/>
      <c r="S12" s="141">
        <f t="shared" si="16"/>
        <v>44018</v>
      </c>
      <c r="T12" s="34">
        <f t="shared" si="17"/>
        <v>2</v>
      </c>
      <c r="U12" s="35" t="str">
        <f t="shared" si="4"/>
        <v>S</v>
      </c>
      <c r="V12" s="187"/>
      <c r="W12" s="187"/>
      <c r="X12" s="187"/>
      <c r="Y12" s="187"/>
      <c r="Z12" s="187"/>
      <c r="AA12" s="141">
        <f t="shared" si="35"/>
        <v>44049</v>
      </c>
      <c r="AB12" s="34">
        <f t="shared" si="18"/>
        <v>5</v>
      </c>
      <c r="AC12" s="35" t="str">
        <f t="shared" si="5"/>
        <v>Q</v>
      </c>
      <c r="AD12" s="187"/>
      <c r="AE12" s="187"/>
      <c r="AF12" s="187"/>
      <c r="AG12" s="187"/>
      <c r="AH12" s="188"/>
      <c r="AI12" s="141">
        <f t="shared" si="19"/>
        <v>44080</v>
      </c>
      <c r="AJ12" s="34">
        <f t="shared" si="20"/>
        <v>1</v>
      </c>
      <c r="AK12" s="35" t="str">
        <f t="shared" si="6"/>
        <v>D</v>
      </c>
      <c r="AL12" s="188"/>
      <c r="AM12" s="188"/>
      <c r="AN12" s="188"/>
      <c r="AO12" s="188"/>
      <c r="AP12" s="188"/>
      <c r="AQ12" s="141">
        <f t="shared" si="21"/>
        <v>44110</v>
      </c>
      <c r="AR12" s="34">
        <f t="shared" si="22"/>
        <v>3</v>
      </c>
      <c r="AS12" s="35" t="str">
        <f t="shared" si="7"/>
        <v>T</v>
      </c>
      <c r="AT12" s="188"/>
      <c r="AU12" s="188"/>
      <c r="AV12" s="188"/>
      <c r="AW12" s="188"/>
      <c r="AX12" s="188"/>
      <c r="AY12" s="141">
        <f t="shared" si="23"/>
        <v>44141</v>
      </c>
      <c r="AZ12" s="34">
        <f t="shared" si="24"/>
        <v>6</v>
      </c>
      <c r="BA12" s="35" t="str">
        <f t="shared" si="8"/>
        <v>S</v>
      </c>
      <c r="BB12" s="188"/>
      <c r="BC12" s="188"/>
      <c r="BD12" s="188"/>
      <c r="BE12" s="188"/>
      <c r="BF12" s="188"/>
      <c r="BG12" s="141">
        <f t="shared" si="25"/>
        <v>44171</v>
      </c>
      <c r="BH12" s="34">
        <f t="shared" si="26"/>
        <v>1</v>
      </c>
      <c r="BI12" s="35" t="str">
        <f t="shared" si="9"/>
        <v>D</v>
      </c>
      <c r="BJ12" s="188"/>
      <c r="BK12" s="188"/>
      <c r="BL12" s="188"/>
      <c r="BM12" s="188"/>
      <c r="BN12" s="188"/>
      <c r="BO12" s="141">
        <f t="shared" si="27"/>
        <v>44261</v>
      </c>
      <c r="BP12" s="34">
        <f t="shared" si="28"/>
        <v>7</v>
      </c>
      <c r="BQ12" s="35" t="str">
        <f t="shared" si="10"/>
        <v>S</v>
      </c>
      <c r="BR12" s="188"/>
      <c r="BS12" s="188"/>
      <c r="BT12" s="188"/>
      <c r="BU12" s="188"/>
      <c r="BV12" s="188"/>
      <c r="BW12" s="141">
        <f t="shared" si="29"/>
        <v>44383</v>
      </c>
      <c r="BX12" s="34">
        <f t="shared" si="30"/>
        <v>3</v>
      </c>
      <c r="BY12" s="35" t="str">
        <f t="shared" si="11"/>
        <v>T</v>
      </c>
      <c r="BZ12" s="188"/>
      <c r="CA12" s="188"/>
      <c r="CB12" s="188"/>
      <c r="CC12" s="188"/>
      <c r="CD12" s="188"/>
      <c r="CE12" s="141">
        <f t="shared" si="31"/>
        <v>44506</v>
      </c>
      <c r="CF12" s="34">
        <f t="shared" si="32"/>
        <v>7</v>
      </c>
      <c r="CG12" s="35" t="str">
        <f t="shared" si="12"/>
        <v>S</v>
      </c>
      <c r="CH12" s="188"/>
      <c r="CI12" s="188"/>
      <c r="CJ12" s="188"/>
      <c r="CK12" s="188"/>
      <c r="CL12" s="188"/>
      <c r="CM12" s="141">
        <f t="shared" si="33"/>
        <v>44536</v>
      </c>
      <c r="CN12" s="34">
        <f t="shared" si="34"/>
        <v>2</v>
      </c>
      <c r="CO12" s="80" t="s">
        <v>109</v>
      </c>
    </row>
    <row r="13" spans="1:95" s="80" customFormat="1" ht="20.25" customHeight="1" thickBot="1" x14ac:dyDescent="0.25">
      <c r="B13" s="32">
        <v>7</v>
      </c>
      <c r="C13" s="33">
        <f t="shared" si="13"/>
        <v>43958</v>
      </c>
      <c r="D13" s="142">
        <f t="shared" si="1"/>
        <v>5</v>
      </c>
      <c r="E13" s="146" t="str">
        <f t="shared" si="2"/>
        <v>Q</v>
      </c>
      <c r="F13" s="188"/>
      <c r="G13" s="188"/>
      <c r="H13" s="188"/>
      <c r="I13" s="188"/>
      <c r="J13" s="188"/>
      <c r="K13" s="141">
        <f t="shared" si="14"/>
        <v>43989</v>
      </c>
      <c r="L13" s="34">
        <f t="shared" si="15"/>
        <v>1</v>
      </c>
      <c r="M13" s="35" t="str">
        <f t="shared" si="3"/>
        <v>D</v>
      </c>
      <c r="N13" s="187"/>
      <c r="O13" s="187"/>
      <c r="P13" s="187"/>
      <c r="Q13" s="187"/>
      <c r="R13" s="187"/>
      <c r="S13" s="141">
        <f t="shared" si="16"/>
        <v>44019</v>
      </c>
      <c r="T13" s="34">
        <f t="shared" si="17"/>
        <v>3</v>
      </c>
      <c r="U13" s="35" t="str">
        <f t="shared" si="4"/>
        <v>T</v>
      </c>
      <c r="V13" s="187"/>
      <c r="W13" s="187"/>
      <c r="X13" s="187"/>
      <c r="Y13" s="187"/>
      <c r="Z13" s="187"/>
      <c r="AA13" s="141">
        <f t="shared" si="35"/>
        <v>44050</v>
      </c>
      <c r="AB13" s="34">
        <f t="shared" si="18"/>
        <v>6</v>
      </c>
      <c r="AC13" s="35" t="str">
        <f t="shared" si="5"/>
        <v>S</v>
      </c>
      <c r="AD13" s="187"/>
      <c r="AE13" s="187"/>
      <c r="AF13" s="187"/>
      <c r="AG13" s="187"/>
      <c r="AH13" s="188"/>
      <c r="AI13" s="141">
        <f t="shared" si="19"/>
        <v>44081</v>
      </c>
      <c r="AJ13" s="34">
        <f t="shared" si="20"/>
        <v>2</v>
      </c>
      <c r="AK13" s="35" t="str">
        <f t="shared" si="6"/>
        <v>S</v>
      </c>
      <c r="AL13" s="188"/>
      <c r="AM13" s="188"/>
      <c r="AN13" s="188"/>
      <c r="AO13" s="188"/>
      <c r="AP13" s="188"/>
      <c r="AQ13" s="141">
        <f t="shared" si="21"/>
        <v>44111</v>
      </c>
      <c r="AR13" s="34">
        <f t="shared" si="22"/>
        <v>4</v>
      </c>
      <c r="AS13" s="35" t="str">
        <f t="shared" si="7"/>
        <v>Q</v>
      </c>
      <c r="AT13" s="188"/>
      <c r="AU13" s="188"/>
      <c r="AV13" s="188"/>
      <c r="AW13" s="188"/>
      <c r="AX13" s="188"/>
      <c r="AY13" s="141">
        <f t="shared" si="23"/>
        <v>44142</v>
      </c>
      <c r="AZ13" s="34">
        <f t="shared" si="24"/>
        <v>7</v>
      </c>
      <c r="BA13" s="35" t="str">
        <f t="shared" si="8"/>
        <v>S</v>
      </c>
      <c r="BB13" s="188"/>
      <c r="BC13" s="188"/>
      <c r="BD13" s="188"/>
      <c r="BE13" s="188"/>
      <c r="BF13" s="188"/>
      <c r="BG13" s="141">
        <f t="shared" si="25"/>
        <v>44172</v>
      </c>
      <c r="BH13" s="34">
        <f t="shared" si="26"/>
        <v>2</v>
      </c>
      <c r="BI13" s="35" t="str">
        <f t="shared" si="9"/>
        <v>S</v>
      </c>
      <c r="BJ13" s="188"/>
      <c r="BK13" s="188"/>
      <c r="BL13" s="188"/>
      <c r="BM13" s="188"/>
      <c r="BN13" s="188"/>
      <c r="BO13" s="141">
        <f t="shared" si="27"/>
        <v>44262</v>
      </c>
      <c r="BP13" s="34">
        <f t="shared" si="28"/>
        <v>1</v>
      </c>
      <c r="BQ13" s="35" t="str">
        <f t="shared" si="10"/>
        <v>D</v>
      </c>
      <c r="BR13" s="188"/>
      <c r="BS13" s="188"/>
      <c r="BT13" s="188"/>
      <c r="BU13" s="188"/>
      <c r="BV13" s="188"/>
      <c r="BW13" s="141">
        <f t="shared" si="29"/>
        <v>44384</v>
      </c>
      <c r="BX13" s="34">
        <f t="shared" si="30"/>
        <v>4</v>
      </c>
      <c r="BY13" s="35" t="str">
        <f t="shared" si="11"/>
        <v>Q</v>
      </c>
      <c r="BZ13" s="188"/>
      <c r="CA13" s="188"/>
      <c r="CB13" s="188"/>
      <c r="CC13" s="188"/>
      <c r="CD13" s="188"/>
      <c r="CE13" s="141">
        <f t="shared" si="31"/>
        <v>44507</v>
      </c>
      <c r="CF13" s="34">
        <f t="shared" si="32"/>
        <v>1</v>
      </c>
      <c r="CG13" s="35" t="str">
        <f t="shared" si="12"/>
        <v>D</v>
      </c>
      <c r="CH13" s="188"/>
      <c r="CI13" s="188"/>
      <c r="CJ13" s="188"/>
      <c r="CK13" s="188"/>
      <c r="CL13" s="188"/>
      <c r="CM13" s="141">
        <f t="shared" si="33"/>
        <v>44537</v>
      </c>
      <c r="CN13" s="34">
        <f t="shared" si="34"/>
        <v>3</v>
      </c>
      <c r="CO13" s="80" t="s">
        <v>109</v>
      </c>
    </row>
    <row r="14" spans="1:95" s="80" customFormat="1" ht="20.25" customHeight="1" thickBot="1" x14ac:dyDescent="0.25">
      <c r="B14" s="32">
        <v>8</v>
      </c>
      <c r="C14" s="33">
        <f t="shared" si="13"/>
        <v>43959</v>
      </c>
      <c r="D14" s="142">
        <f t="shared" si="1"/>
        <v>6</v>
      </c>
      <c r="E14" s="146" t="str">
        <f t="shared" si="2"/>
        <v>S</v>
      </c>
      <c r="F14" s="188"/>
      <c r="G14" s="189"/>
      <c r="H14" s="188"/>
      <c r="I14" s="189"/>
      <c r="J14" s="188"/>
      <c r="K14" s="141">
        <f t="shared" si="14"/>
        <v>43990</v>
      </c>
      <c r="L14" s="34">
        <f t="shared" si="15"/>
        <v>2</v>
      </c>
      <c r="M14" s="35" t="str">
        <f t="shared" si="3"/>
        <v>S</v>
      </c>
      <c r="N14" s="187"/>
      <c r="O14" s="187"/>
      <c r="P14" s="187"/>
      <c r="Q14" s="187"/>
      <c r="R14" s="187"/>
      <c r="S14" s="141">
        <f t="shared" si="16"/>
        <v>44020</v>
      </c>
      <c r="T14" s="34">
        <f t="shared" si="17"/>
        <v>4</v>
      </c>
      <c r="U14" s="35" t="str">
        <f t="shared" si="4"/>
        <v>Q</v>
      </c>
      <c r="V14" s="187"/>
      <c r="W14" s="187"/>
      <c r="X14" s="187"/>
      <c r="Y14" s="187"/>
      <c r="Z14" s="187"/>
      <c r="AA14" s="141">
        <f t="shared" si="35"/>
        <v>44051</v>
      </c>
      <c r="AB14" s="34">
        <f t="shared" si="18"/>
        <v>7</v>
      </c>
      <c r="AC14" s="35" t="str">
        <f t="shared" si="5"/>
        <v>S</v>
      </c>
      <c r="AD14" s="187"/>
      <c r="AE14" s="187"/>
      <c r="AF14" s="187"/>
      <c r="AG14" s="187"/>
      <c r="AH14" s="188"/>
      <c r="AI14" s="141">
        <f t="shared" si="19"/>
        <v>44082</v>
      </c>
      <c r="AJ14" s="34">
        <f t="shared" si="20"/>
        <v>3</v>
      </c>
      <c r="AK14" s="35" t="str">
        <f t="shared" si="6"/>
        <v>T</v>
      </c>
      <c r="AL14" s="188"/>
      <c r="AM14" s="189"/>
      <c r="AN14" s="188"/>
      <c r="AO14" s="189"/>
      <c r="AP14" s="188"/>
      <c r="AQ14" s="141">
        <f t="shared" si="21"/>
        <v>44112</v>
      </c>
      <c r="AR14" s="34">
        <f t="shared" si="22"/>
        <v>5</v>
      </c>
      <c r="AS14" s="35" t="str">
        <f t="shared" si="7"/>
        <v>Q</v>
      </c>
      <c r="AT14" s="188"/>
      <c r="AU14" s="189"/>
      <c r="AW14" s="188"/>
      <c r="AX14" s="188"/>
      <c r="AY14" s="141">
        <f t="shared" si="23"/>
        <v>44143</v>
      </c>
      <c r="AZ14" s="34">
        <f t="shared" si="24"/>
        <v>1</v>
      </c>
      <c r="BA14" s="35" t="str">
        <f t="shared" si="8"/>
        <v>D</v>
      </c>
      <c r="BB14" s="188"/>
      <c r="BC14" s="189"/>
      <c r="BD14" s="188"/>
      <c r="BE14" s="189"/>
      <c r="BF14" s="188"/>
      <c r="BG14" s="141">
        <f t="shared" si="25"/>
        <v>44173</v>
      </c>
      <c r="BH14" s="34">
        <f t="shared" si="26"/>
        <v>3</v>
      </c>
      <c r="BI14" s="35" t="str">
        <f t="shared" si="9"/>
        <v>T</v>
      </c>
      <c r="BJ14" s="188"/>
      <c r="BK14" s="189"/>
      <c r="BL14" s="188"/>
      <c r="BM14" s="189"/>
      <c r="BN14" s="188"/>
      <c r="BO14" s="141">
        <f t="shared" si="27"/>
        <v>44263</v>
      </c>
      <c r="BP14" s="34">
        <f t="shared" si="28"/>
        <v>2</v>
      </c>
      <c r="BQ14" s="35" t="str">
        <f t="shared" si="10"/>
        <v>S</v>
      </c>
      <c r="BR14" s="188"/>
      <c r="BS14" s="189"/>
      <c r="BT14" s="188"/>
      <c r="BU14" s="189"/>
      <c r="BV14" s="188"/>
      <c r="BW14" s="141">
        <f t="shared" si="29"/>
        <v>44385</v>
      </c>
      <c r="BX14" s="34">
        <f t="shared" si="30"/>
        <v>5</v>
      </c>
      <c r="BY14" s="35" t="str">
        <f t="shared" si="11"/>
        <v>Q</v>
      </c>
      <c r="BZ14" s="188"/>
      <c r="CA14" s="189"/>
      <c r="CB14" s="188"/>
      <c r="CC14" s="189"/>
      <c r="CD14" s="188"/>
      <c r="CE14" s="141">
        <f t="shared" si="31"/>
        <v>44508</v>
      </c>
      <c r="CF14" s="34">
        <f t="shared" si="32"/>
        <v>2</v>
      </c>
      <c r="CG14" s="35" t="str">
        <f t="shared" si="12"/>
        <v>S</v>
      </c>
      <c r="CH14" s="188"/>
      <c r="CI14" s="189"/>
      <c r="CJ14" s="188"/>
      <c r="CK14" s="189"/>
      <c r="CL14" s="188"/>
      <c r="CM14" s="141">
        <f t="shared" si="33"/>
        <v>44538</v>
      </c>
      <c r="CN14" s="34">
        <f t="shared" si="34"/>
        <v>4</v>
      </c>
      <c r="CO14" s="80" t="s">
        <v>109</v>
      </c>
    </row>
    <row r="15" spans="1:95" s="80" customFormat="1" ht="20.25" customHeight="1" thickBot="1" x14ac:dyDescent="0.25">
      <c r="B15" s="32">
        <v>9</v>
      </c>
      <c r="C15" s="33">
        <f t="shared" si="13"/>
        <v>43960</v>
      </c>
      <c r="D15" s="142">
        <f t="shared" si="1"/>
        <v>7</v>
      </c>
      <c r="E15" s="146" t="str">
        <f t="shared" si="2"/>
        <v>S</v>
      </c>
      <c r="F15" s="188"/>
      <c r="G15" s="188"/>
      <c r="H15" s="188"/>
      <c r="I15" s="188"/>
      <c r="J15" s="188"/>
      <c r="K15" s="141">
        <f t="shared" si="14"/>
        <v>43991</v>
      </c>
      <c r="L15" s="34">
        <f t="shared" si="15"/>
        <v>3</v>
      </c>
      <c r="M15" s="35" t="str">
        <f t="shared" si="3"/>
        <v>T</v>
      </c>
      <c r="N15" s="187"/>
      <c r="O15" s="187"/>
      <c r="P15" s="187"/>
      <c r="Q15" s="187"/>
      <c r="R15" s="187"/>
      <c r="S15" s="141">
        <f t="shared" si="16"/>
        <v>44021</v>
      </c>
      <c r="T15" s="34">
        <f t="shared" si="17"/>
        <v>5</v>
      </c>
      <c r="U15" s="35" t="str">
        <f t="shared" si="4"/>
        <v>Q</v>
      </c>
      <c r="V15" s="187"/>
      <c r="W15" s="187"/>
      <c r="X15" s="187"/>
      <c r="Y15" s="187"/>
      <c r="Z15" s="187"/>
      <c r="AA15" s="141">
        <f t="shared" si="35"/>
        <v>44052</v>
      </c>
      <c r="AB15" s="34">
        <f t="shared" si="18"/>
        <v>1</v>
      </c>
      <c r="AC15" s="35" t="str">
        <f t="shared" si="5"/>
        <v>D</v>
      </c>
      <c r="AD15" s="187"/>
      <c r="AE15" s="187"/>
      <c r="AF15" s="187"/>
      <c r="AG15" s="187"/>
      <c r="AH15" s="188"/>
      <c r="AI15" s="141">
        <f t="shared" si="19"/>
        <v>44083</v>
      </c>
      <c r="AJ15" s="34">
        <f t="shared" si="20"/>
        <v>4</v>
      </c>
      <c r="AK15" s="35" t="str">
        <f t="shared" si="6"/>
        <v>Q</v>
      </c>
      <c r="AL15" s="188"/>
      <c r="AM15" s="188"/>
      <c r="AN15" s="188"/>
      <c r="AO15" s="188"/>
      <c r="AP15" s="188"/>
      <c r="AQ15" s="141">
        <f t="shared" si="21"/>
        <v>44113</v>
      </c>
      <c r="AR15" s="34">
        <f t="shared" si="22"/>
        <v>6</v>
      </c>
      <c r="AS15" s="35" t="str">
        <f t="shared" si="7"/>
        <v>S</v>
      </c>
      <c r="AT15" s="188"/>
      <c r="AU15" s="188"/>
      <c r="AV15" s="188"/>
      <c r="AW15" s="188"/>
      <c r="AX15" s="188"/>
      <c r="AY15" s="141">
        <f t="shared" si="23"/>
        <v>44144</v>
      </c>
      <c r="AZ15" s="34">
        <f t="shared" si="24"/>
        <v>2</v>
      </c>
      <c r="BA15" s="35" t="str">
        <f t="shared" si="8"/>
        <v>S</v>
      </c>
      <c r="BB15" s="188"/>
      <c r="BC15" s="188"/>
      <c r="BD15" s="188"/>
      <c r="BE15" s="188"/>
      <c r="BF15" s="188"/>
      <c r="BG15" s="141">
        <f t="shared" si="25"/>
        <v>44174</v>
      </c>
      <c r="BH15" s="34">
        <f t="shared" si="26"/>
        <v>4</v>
      </c>
      <c r="BI15" s="35" t="str">
        <f t="shared" si="9"/>
        <v>Q</v>
      </c>
      <c r="BJ15" s="188"/>
      <c r="BK15" s="188"/>
      <c r="BL15" s="188"/>
      <c r="BM15" s="188"/>
      <c r="BN15" s="188"/>
      <c r="BO15" s="141">
        <f t="shared" si="27"/>
        <v>44264</v>
      </c>
      <c r="BP15" s="34">
        <f t="shared" si="28"/>
        <v>3</v>
      </c>
      <c r="BQ15" s="35" t="str">
        <f t="shared" si="10"/>
        <v>T</v>
      </c>
      <c r="BR15" s="188"/>
      <c r="BS15" s="188"/>
      <c r="BT15" s="188"/>
      <c r="BU15" s="188"/>
      <c r="BV15" s="188"/>
      <c r="BW15" s="141">
        <f t="shared" si="29"/>
        <v>44386</v>
      </c>
      <c r="BX15" s="34">
        <f t="shared" si="30"/>
        <v>6</v>
      </c>
      <c r="BY15" s="35" t="str">
        <f t="shared" si="11"/>
        <v>S</v>
      </c>
      <c r="BZ15" s="188"/>
      <c r="CA15" s="188"/>
      <c r="CB15" s="188"/>
      <c r="CC15" s="188"/>
      <c r="CD15" s="188"/>
      <c r="CE15" s="141">
        <f t="shared" si="31"/>
        <v>44509</v>
      </c>
      <c r="CF15" s="34">
        <f t="shared" si="32"/>
        <v>3</v>
      </c>
      <c r="CG15" s="35" t="str">
        <f t="shared" si="12"/>
        <v>T</v>
      </c>
      <c r="CH15" s="188"/>
      <c r="CI15" s="188"/>
      <c r="CJ15" s="188"/>
      <c r="CK15" s="188"/>
      <c r="CL15" s="188"/>
      <c r="CM15" s="141">
        <f t="shared" si="33"/>
        <v>44539</v>
      </c>
      <c r="CN15" s="34">
        <f t="shared" si="34"/>
        <v>5</v>
      </c>
      <c r="CO15" s="80" t="s">
        <v>109</v>
      </c>
    </row>
    <row r="16" spans="1:95" s="80" customFormat="1" ht="20.25" customHeight="1" thickBot="1" x14ac:dyDescent="0.25">
      <c r="B16" s="32">
        <v>10</v>
      </c>
      <c r="C16" s="33">
        <f t="shared" si="13"/>
        <v>43961</v>
      </c>
      <c r="D16" s="142">
        <f t="shared" si="1"/>
        <v>1</v>
      </c>
      <c r="E16" s="146" t="str">
        <f t="shared" si="2"/>
        <v>D</v>
      </c>
      <c r="F16" s="188"/>
      <c r="G16" s="188"/>
      <c r="H16" s="188"/>
      <c r="I16" s="188"/>
      <c r="J16" s="188"/>
      <c r="K16" s="141">
        <f t="shared" si="14"/>
        <v>43992</v>
      </c>
      <c r="L16" s="34">
        <f t="shared" si="15"/>
        <v>4</v>
      </c>
      <c r="M16" s="35" t="str">
        <f t="shared" si="3"/>
        <v>Q</v>
      </c>
      <c r="N16" s="187"/>
      <c r="O16" s="187"/>
      <c r="P16" s="187"/>
      <c r="Q16" s="187"/>
      <c r="R16" s="187"/>
      <c r="S16" s="141">
        <f t="shared" si="16"/>
        <v>44022</v>
      </c>
      <c r="T16" s="34">
        <f t="shared" si="17"/>
        <v>6</v>
      </c>
      <c r="U16" s="35" t="str">
        <f t="shared" si="4"/>
        <v>S</v>
      </c>
      <c r="V16" s="187"/>
      <c r="W16" s="187"/>
      <c r="X16" s="187"/>
      <c r="Y16" s="187"/>
      <c r="Z16" s="187"/>
      <c r="AA16" s="141">
        <f t="shared" si="35"/>
        <v>44053</v>
      </c>
      <c r="AB16" s="34">
        <f t="shared" si="18"/>
        <v>2</v>
      </c>
      <c r="AC16" s="35" t="str">
        <f t="shared" si="5"/>
        <v>S</v>
      </c>
      <c r="AD16" s="187"/>
      <c r="AE16" s="187"/>
      <c r="AF16" s="187"/>
      <c r="AG16" s="187"/>
      <c r="AH16" s="188"/>
      <c r="AI16" s="141">
        <f t="shared" si="19"/>
        <v>44084</v>
      </c>
      <c r="AJ16" s="34">
        <f t="shared" si="20"/>
        <v>5</v>
      </c>
      <c r="AK16" s="35" t="str">
        <f t="shared" si="6"/>
        <v>Q</v>
      </c>
      <c r="AL16" s="188"/>
      <c r="AM16" s="188"/>
      <c r="AN16" s="188"/>
      <c r="AO16" s="188"/>
      <c r="AP16" s="188"/>
      <c r="AQ16" s="141">
        <f t="shared" si="21"/>
        <v>44114</v>
      </c>
      <c r="AR16" s="34">
        <f t="shared" si="22"/>
        <v>7</v>
      </c>
      <c r="AS16" s="35" t="str">
        <f t="shared" si="7"/>
        <v>S</v>
      </c>
      <c r="AT16" s="188"/>
      <c r="AU16" s="188"/>
      <c r="AV16" s="188"/>
      <c r="AW16" s="188"/>
      <c r="AX16" s="188"/>
      <c r="AY16" s="141">
        <f t="shared" si="23"/>
        <v>44145</v>
      </c>
      <c r="AZ16" s="34">
        <f t="shared" si="24"/>
        <v>3</v>
      </c>
      <c r="BA16" s="35" t="str">
        <f t="shared" si="8"/>
        <v>T</v>
      </c>
      <c r="BB16" s="188"/>
      <c r="BC16" s="188"/>
      <c r="BD16" s="188"/>
      <c r="BE16" s="188"/>
      <c r="BF16" s="188"/>
      <c r="BG16" s="141">
        <f t="shared" si="25"/>
        <v>44175</v>
      </c>
      <c r="BH16" s="34">
        <f t="shared" si="26"/>
        <v>5</v>
      </c>
      <c r="BI16" s="35" t="str">
        <f t="shared" si="9"/>
        <v>Q</v>
      </c>
      <c r="BJ16" s="188"/>
      <c r="BK16" s="188"/>
      <c r="BL16" s="188"/>
      <c r="BM16" s="188"/>
      <c r="BN16" s="188"/>
      <c r="BO16" s="141">
        <f t="shared" si="27"/>
        <v>44265</v>
      </c>
      <c r="BP16" s="34">
        <f t="shared" si="28"/>
        <v>4</v>
      </c>
      <c r="BQ16" s="35" t="str">
        <f t="shared" si="10"/>
        <v>Q</v>
      </c>
      <c r="BR16" s="188"/>
      <c r="BS16" s="188"/>
      <c r="BT16" s="188"/>
      <c r="BU16" s="188"/>
      <c r="BV16" s="188"/>
      <c r="BW16" s="141">
        <f t="shared" si="29"/>
        <v>44387</v>
      </c>
      <c r="BX16" s="34">
        <f t="shared" si="30"/>
        <v>7</v>
      </c>
      <c r="BY16" s="35" t="str">
        <f t="shared" si="11"/>
        <v>S</v>
      </c>
      <c r="BZ16" s="188"/>
      <c r="CA16" s="188"/>
      <c r="CB16" s="188"/>
      <c r="CC16" s="188"/>
      <c r="CD16" s="188"/>
      <c r="CE16" s="141">
        <f t="shared" si="31"/>
        <v>44510</v>
      </c>
      <c r="CF16" s="34">
        <f t="shared" si="32"/>
        <v>4</v>
      </c>
      <c r="CG16" s="35" t="str">
        <f t="shared" si="12"/>
        <v>Q</v>
      </c>
      <c r="CH16" s="188"/>
      <c r="CI16" s="188"/>
      <c r="CJ16" s="188"/>
      <c r="CK16" s="188"/>
      <c r="CL16" s="188"/>
      <c r="CM16" s="141">
        <f t="shared" si="33"/>
        <v>44540</v>
      </c>
      <c r="CN16" s="34">
        <f t="shared" si="34"/>
        <v>6</v>
      </c>
      <c r="CO16" s="80" t="s">
        <v>109</v>
      </c>
    </row>
    <row r="17" spans="2:95" s="80" customFormat="1" ht="20.25" customHeight="1" thickBot="1" x14ac:dyDescent="0.25">
      <c r="B17" s="32">
        <v>11</v>
      </c>
      <c r="C17" s="33">
        <f t="shared" si="13"/>
        <v>43962</v>
      </c>
      <c r="D17" s="142">
        <f t="shared" si="1"/>
        <v>2</v>
      </c>
      <c r="E17" s="146" t="str">
        <f t="shared" si="2"/>
        <v>S</v>
      </c>
      <c r="F17" s="188"/>
      <c r="G17" s="188"/>
      <c r="H17" s="188"/>
      <c r="I17" s="188"/>
      <c r="J17" s="188"/>
      <c r="K17" s="141">
        <f t="shared" si="14"/>
        <v>43993</v>
      </c>
      <c r="L17" s="34">
        <f t="shared" si="15"/>
        <v>5</v>
      </c>
      <c r="M17" s="35" t="str">
        <f t="shared" si="3"/>
        <v>Q</v>
      </c>
      <c r="N17" s="187"/>
      <c r="O17" s="187"/>
      <c r="P17" s="187"/>
      <c r="Q17" s="187"/>
      <c r="R17" s="187"/>
      <c r="S17" s="141">
        <f t="shared" si="16"/>
        <v>44023</v>
      </c>
      <c r="T17" s="34">
        <f t="shared" si="17"/>
        <v>7</v>
      </c>
      <c r="U17" s="35" t="str">
        <f t="shared" si="4"/>
        <v>S</v>
      </c>
      <c r="V17" s="187"/>
      <c r="W17" s="187"/>
      <c r="X17" s="187"/>
      <c r="Y17" s="187"/>
      <c r="Z17" s="187"/>
      <c r="AA17" s="141">
        <f t="shared" si="35"/>
        <v>44054</v>
      </c>
      <c r="AB17" s="34">
        <f t="shared" si="18"/>
        <v>3</v>
      </c>
      <c r="AC17" s="35" t="str">
        <f t="shared" si="5"/>
        <v>T</v>
      </c>
      <c r="AD17" s="187"/>
      <c r="AE17" s="187"/>
      <c r="AF17" s="187"/>
      <c r="AG17" s="187"/>
      <c r="AH17" s="188"/>
      <c r="AI17" s="141">
        <f t="shared" si="19"/>
        <v>44085</v>
      </c>
      <c r="AJ17" s="34">
        <f t="shared" si="20"/>
        <v>6</v>
      </c>
      <c r="AK17" s="35" t="str">
        <f t="shared" si="6"/>
        <v>S</v>
      </c>
      <c r="AL17" s="188"/>
      <c r="AM17" s="188"/>
      <c r="AN17" s="188"/>
      <c r="AO17" s="188"/>
      <c r="AP17" s="188"/>
      <c r="AQ17" s="141">
        <f t="shared" si="21"/>
        <v>44115</v>
      </c>
      <c r="AR17" s="34">
        <f t="shared" si="22"/>
        <v>1</v>
      </c>
      <c r="AS17" s="35" t="str">
        <f t="shared" si="7"/>
        <v>D</v>
      </c>
      <c r="AT17" s="188"/>
      <c r="AU17" s="188"/>
      <c r="AV17" s="188"/>
      <c r="AW17" s="188"/>
      <c r="AX17" s="188"/>
      <c r="AY17" s="141">
        <f t="shared" si="23"/>
        <v>44146</v>
      </c>
      <c r="AZ17" s="34">
        <f t="shared" si="24"/>
        <v>4</v>
      </c>
      <c r="BA17" s="35" t="str">
        <f t="shared" si="8"/>
        <v>Q</v>
      </c>
      <c r="BB17" s="188"/>
      <c r="BC17" s="188"/>
      <c r="BD17" s="188"/>
      <c r="BE17" s="188"/>
      <c r="BF17" s="188"/>
      <c r="BG17" s="141">
        <f t="shared" si="25"/>
        <v>44176</v>
      </c>
      <c r="BH17" s="34">
        <f t="shared" si="26"/>
        <v>6</v>
      </c>
      <c r="BI17" s="35" t="str">
        <f t="shared" si="9"/>
        <v>S</v>
      </c>
      <c r="BJ17" s="188"/>
      <c r="BK17" s="188"/>
      <c r="BL17" s="188"/>
      <c r="BM17" s="188"/>
      <c r="BN17" s="188"/>
      <c r="BO17" s="141">
        <f t="shared" si="27"/>
        <v>44266</v>
      </c>
      <c r="BP17" s="34">
        <f t="shared" si="28"/>
        <v>5</v>
      </c>
      <c r="BQ17" s="35" t="str">
        <f t="shared" si="10"/>
        <v>Q</v>
      </c>
      <c r="BR17" s="188"/>
      <c r="BS17" s="188"/>
      <c r="BT17" s="188"/>
      <c r="BU17" s="188"/>
      <c r="BV17" s="188"/>
      <c r="BW17" s="141">
        <f t="shared" si="29"/>
        <v>44388</v>
      </c>
      <c r="BX17" s="34">
        <f t="shared" si="30"/>
        <v>1</v>
      </c>
      <c r="BY17" s="35" t="str">
        <f t="shared" si="11"/>
        <v>D</v>
      </c>
      <c r="BZ17" s="188"/>
      <c r="CA17" s="188"/>
      <c r="CB17" s="188"/>
      <c r="CC17" s="188"/>
      <c r="CD17" s="188"/>
      <c r="CE17" s="141">
        <f t="shared" si="31"/>
        <v>44511</v>
      </c>
      <c r="CF17" s="34">
        <f t="shared" si="32"/>
        <v>5</v>
      </c>
      <c r="CG17" s="35" t="str">
        <f t="shared" si="12"/>
        <v>Q</v>
      </c>
      <c r="CH17" s="188"/>
      <c r="CI17" s="188"/>
      <c r="CJ17" s="188"/>
      <c r="CK17" s="188"/>
      <c r="CL17" s="188"/>
      <c r="CM17" s="141">
        <f t="shared" si="33"/>
        <v>44541</v>
      </c>
      <c r="CN17" s="34">
        <f t="shared" si="34"/>
        <v>7</v>
      </c>
      <c r="CO17" s="80" t="s">
        <v>109</v>
      </c>
    </row>
    <row r="18" spans="2:95" s="80" customFormat="1" ht="20.25" customHeight="1" thickBot="1" x14ac:dyDescent="0.25">
      <c r="B18" s="32">
        <v>12</v>
      </c>
      <c r="C18" s="33">
        <f t="shared" si="13"/>
        <v>43963</v>
      </c>
      <c r="D18" s="142">
        <f t="shared" si="1"/>
        <v>3</v>
      </c>
      <c r="E18" s="146" t="str">
        <f t="shared" si="2"/>
        <v>T</v>
      </c>
      <c r="F18" s="188"/>
      <c r="G18" s="188"/>
      <c r="H18" s="188"/>
      <c r="I18" s="188"/>
      <c r="J18" s="188"/>
      <c r="K18" s="141">
        <f t="shared" si="14"/>
        <v>43994</v>
      </c>
      <c r="L18" s="34">
        <f t="shared" si="15"/>
        <v>6</v>
      </c>
      <c r="M18" s="35" t="str">
        <f t="shared" si="3"/>
        <v>S</v>
      </c>
      <c r="N18" s="187"/>
      <c r="O18" s="187"/>
      <c r="P18" s="187"/>
      <c r="Q18" s="187"/>
      <c r="R18" s="187"/>
      <c r="S18" s="141">
        <f t="shared" si="16"/>
        <v>44024</v>
      </c>
      <c r="T18" s="34">
        <f t="shared" si="17"/>
        <v>1</v>
      </c>
      <c r="U18" s="35" t="str">
        <f t="shared" si="4"/>
        <v>D</v>
      </c>
      <c r="V18" s="187"/>
      <c r="W18" s="187"/>
      <c r="X18" s="187"/>
      <c r="Y18" s="187"/>
      <c r="Z18" s="187"/>
      <c r="AA18" s="141">
        <f t="shared" si="35"/>
        <v>44055</v>
      </c>
      <c r="AB18" s="34">
        <f t="shared" si="18"/>
        <v>4</v>
      </c>
      <c r="AC18" s="35" t="str">
        <f t="shared" si="5"/>
        <v>Q</v>
      </c>
      <c r="AD18" s="187"/>
      <c r="AE18" s="187"/>
      <c r="AF18" s="187"/>
      <c r="AG18" s="187"/>
      <c r="AH18" s="188"/>
      <c r="AI18" s="141">
        <f t="shared" si="19"/>
        <v>44086</v>
      </c>
      <c r="AJ18" s="34">
        <f t="shared" si="20"/>
        <v>7</v>
      </c>
      <c r="AK18" s="35" t="str">
        <f t="shared" si="6"/>
        <v>S</v>
      </c>
      <c r="AL18" s="188"/>
      <c r="AM18" s="188"/>
      <c r="AN18" s="188"/>
      <c r="AO18" s="188"/>
      <c r="AP18" s="188"/>
      <c r="AQ18" s="141">
        <f t="shared" si="21"/>
        <v>44116</v>
      </c>
      <c r="AR18" s="34">
        <f t="shared" si="22"/>
        <v>2</v>
      </c>
      <c r="AS18" s="35" t="str">
        <f t="shared" si="7"/>
        <v>S</v>
      </c>
      <c r="AT18" s="188"/>
      <c r="AU18" s="188"/>
      <c r="AV18" s="188"/>
      <c r="AW18" s="188"/>
      <c r="AX18" s="188"/>
      <c r="AY18" s="141">
        <f t="shared" si="23"/>
        <v>44147</v>
      </c>
      <c r="AZ18" s="34">
        <f t="shared" si="24"/>
        <v>5</v>
      </c>
      <c r="BA18" s="35" t="str">
        <f t="shared" si="8"/>
        <v>Q</v>
      </c>
      <c r="BB18" s="188"/>
      <c r="BC18" s="188"/>
      <c r="BD18" s="188"/>
      <c r="BE18" s="188"/>
      <c r="BF18" s="188"/>
      <c r="BG18" s="141">
        <f t="shared" si="25"/>
        <v>44177</v>
      </c>
      <c r="BH18" s="34">
        <f t="shared" si="26"/>
        <v>7</v>
      </c>
      <c r="BI18" s="35" t="str">
        <f t="shared" si="9"/>
        <v>S</v>
      </c>
      <c r="BJ18" s="188"/>
      <c r="BK18" s="188"/>
      <c r="BL18" s="188"/>
      <c r="BM18" s="188"/>
      <c r="BN18" s="188"/>
      <c r="BO18" s="141">
        <f t="shared" si="27"/>
        <v>44267</v>
      </c>
      <c r="BP18" s="34">
        <f t="shared" si="28"/>
        <v>6</v>
      </c>
      <c r="BQ18" s="35" t="str">
        <f t="shared" si="10"/>
        <v>S</v>
      </c>
      <c r="BR18" s="188"/>
      <c r="BS18" s="188"/>
      <c r="BT18" s="188"/>
      <c r="BU18" s="188"/>
      <c r="BV18" s="188"/>
      <c r="BW18" s="141">
        <f t="shared" si="29"/>
        <v>44389</v>
      </c>
      <c r="BX18" s="34">
        <f t="shared" si="30"/>
        <v>2</v>
      </c>
      <c r="BY18" s="35" t="str">
        <f t="shared" si="11"/>
        <v>S</v>
      </c>
      <c r="BZ18" s="188"/>
      <c r="CA18" s="188"/>
      <c r="CB18" s="188"/>
      <c r="CC18" s="188"/>
      <c r="CD18" s="188"/>
      <c r="CE18" s="141">
        <f t="shared" si="31"/>
        <v>44512</v>
      </c>
      <c r="CF18" s="34">
        <f t="shared" si="32"/>
        <v>6</v>
      </c>
      <c r="CG18" s="35" t="str">
        <f t="shared" si="12"/>
        <v>S</v>
      </c>
      <c r="CH18" s="188"/>
      <c r="CI18" s="188"/>
      <c r="CJ18" s="188"/>
      <c r="CK18" s="188"/>
      <c r="CL18" s="188"/>
      <c r="CM18" s="141">
        <f t="shared" si="33"/>
        <v>44542</v>
      </c>
      <c r="CN18" s="34">
        <f t="shared" si="34"/>
        <v>1</v>
      </c>
      <c r="CO18" s="80" t="s">
        <v>109</v>
      </c>
    </row>
    <row r="19" spans="2:95" s="80" customFormat="1" ht="20.25" customHeight="1" thickBot="1" x14ac:dyDescent="0.25">
      <c r="B19" s="32">
        <v>13</v>
      </c>
      <c r="C19" s="33">
        <f t="shared" si="13"/>
        <v>43964</v>
      </c>
      <c r="D19" s="142">
        <f t="shared" si="1"/>
        <v>4</v>
      </c>
      <c r="E19" s="146" t="str">
        <f t="shared" si="2"/>
        <v>Q</v>
      </c>
      <c r="F19" s="188"/>
      <c r="G19" s="188"/>
      <c r="H19" s="188"/>
      <c r="I19" s="188"/>
      <c r="J19" s="188"/>
      <c r="K19" s="141">
        <f t="shared" si="14"/>
        <v>43995</v>
      </c>
      <c r="L19" s="34">
        <f t="shared" si="15"/>
        <v>7</v>
      </c>
      <c r="M19" s="35" t="str">
        <f t="shared" si="3"/>
        <v>S</v>
      </c>
      <c r="N19" s="187"/>
      <c r="O19" s="187"/>
      <c r="P19" s="187"/>
      <c r="Q19" s="187"/>
      <c r="R19" s="187"/>
      <c r="S19" s="141">
        <f t="shared" si="16"/>
        <v>44025</v>
      </c>
      <c r="T19" s="34">
        <f t="shared" si="17"/>
        <v>2</v>
      </c>
      <c r="U19" s="35" t="str">
        <f t="shared" si="4"/>
        <v>S</v>
      </c>
      <c r="V19" s="187"/>
      <c r="W19" s="187"/>
      <c r="X19" s="187"/>
      <c r="Y19" s="187"/>
      <c r="Z19" s="187"/>
      <c r="AA19" s="141">
        <f t="shared" si="35"/>
        <v>44056</v>
      </c>
      <c r="AB19" s="34">
        <f t="shared" si="18"/>
        <v>5</v>
      </c>
      <c r="AC19" s="35" t="str">
        <f t="shared" si="5"/>
        <v>Q</v>
      </c>
      <c r="AD19" s="187"/>
      <c r="AE19" s="187"/>
      <c r="AF19" s="187"/>
      <c r="AG19" s="187"/>
      <c r="AH19" s="188"/>
      <c r="AI19" s="141">
        <f t="shared" si="19"/>
        <v>44087</v>
      </c>
      <c r="AJ19" s="34">
        <f t="shared" si="20"/>
        <v>1</v>
      </c>
      <c r="AK19" s="35" t="str">
        <f t="shared" si="6"/>
        <v>D</v>
      </c>
      <c r="AL19" s="188"/>
      <c r="AM19" s="188"/>
      <c r="AN19" s="188"/>
      <c r="AO19" s="188"/>
      <c r="AP19" s="188"/>
      <c r="AQ19" s="141">
        <f t="shared" si="21"/>
        <v>44117</v>
      </c>
      <c r="AR19" s="34">
        <f t="shared" si="22"/>
        <v>3</v>
      </c>
      <c r="AS19" s="35" t="str">
        <f t="shared" si="7"/>
        <v>T</v>
      </c>
      <c r="AT19" s="188"/>
      <c r="AU19" s="188"/>
      <c r="AV19" s="188"/>
      <c r="AW19" s="188"/>
      <c r="AX19" s="188"/>
      <c r="AY19" s="141">
        <f t="shared" si="23"/>
        <v>44148</v>
      </c>
      <c r="AZ19" s="34">
        <f t="shared" si="24"/>
        <v>6</v>
      </c>
      <c r="BA19" s="35" t="str">
        <f t="shared" si="8"/>
        <v>S</v>
      </c>
      <c r="BB19" s="188"/>
      <c r="BC19" s="188"/>
      <c r="BD19" s="188"/>
      <c r="BE19" s="188"/>
      <c r="BF19" s="188"/>
      <c r="BG19" s="141">
        <f t="shared" si="25"/>
        <v>44178</v>
      </c>
      <c r="BH19" s="34">
        <f t="shared" si="26"/>
        <v>1</v>
      </c>
      <c r="BI19" s="35" t="str">
        <f t="shared" si="9"/>
        <v>D</v>
      </c>
      <c r="BJ19" s="188"/>
      <c r="BK19" s="188"/>
      <c r="BL19" s="188"/>
      <c r="BM19" s="188"/>
      <c r="BN19" s="188"/>
      <c r="BO19" s="141">
        <f t="shared" si="27"/>
        <v>44268</v>
      </c>
      <c r="BP19" s="34">
        <f t="shared" si="28"/>
        <v>7</v>
      </c>
      <c r="BQ19" s="35" t="str">
        <f t="shared" si="10"/>
        <v>S</v>
      </c>
      <c r="BR19" s="188"/>
      <c r="BS19" s="188"/>
      <c r="BT19" s="188"/>
      <c r="BU19" s="188"/>
      <c r="BV19" s="188"/>
      <c r="BW19" s="141">
        <f t="shared" si="29"/>
        <v>44390</v>
      </c>
      <c r="BX19" s="34">
        <f t="shared" si="30"/>
        <v>3</v>
      </c>
      <c r="BY19" s="35" t="str">
        <f t="shared" si="11"/>
        <v>T</v>
      </c>
      <c r="BZ19" s="188"/>
      <c r="CA19" s="188"/>
      <c r="CB19" s="188"/>
      <c r="CC19" s="188"/>
      <c r="CD19" s="188"/>
      <c r="CE19" s="141">
        <f t="shared" si="31"/>
        <v>44513</v>
      </c>
      <c r="CF19" s="34">
        <f t="shared" si="32"/>
        <v>7</v>
      </c>
      <c r="CG19" s="35" t="str">
        <f t="shared" si="12"/>
        <v>S</v>
      </c>
      <c r="CH19" s="188"/>
      <c r="CI19" s="188"/>
      <c r="CJ19" s="188"/>
      <c r="CK19" s="188"/>
      <c r="CL19" s="188"/>
      <c r="CM19" s="141">
        <f t="shared" si="33"/>
        <v>44543</v>
      </c>
      <c r="CN19" s="34">
        <f t="shared" si="34"/>
        <v>2</v>
      </c>
      <c r="CO19" s="80" t="s">
        <v>109</v>
      </c>
    </row>
    <row r="20" spans="2:95" s="80" customFormat="1" ht="20.25" customHeight="1" thickBot="1" x14ac:dyDescent="0.25">
      <c r="B20" s="32">
        <v>14</v>
      </c>
      <c r="C20" s="33">
        <f t="shared" si="13"/>
        <v>43965</v>
      </c>
      <c r="D20" s="142">
        <f t="shared" si="1"/>
        <v>5</v>
      </c>
      <c r="E20" s="146" t="str">
        <f t="shared" si="2"/>
        <v>Q</v>
      </c>
      <c r="F20" s="188"/>
      <c r="G20" s="188"/>
      <c r="H20" s="188"/>
      <c r="I20" s="188"/>
      <c r="J20" s="188"/>
      <c r="K20" s="141">
        <f t="shared" si="14"/>
        <v>43996</v>
      </c>
      <c r="L20" s="34">
        <f t="shared" si="15"/>
        <v>1</v>
      </c>
      <c r="M20" s="35" t="str">
        <f t="shared" si="3"/>
        <v>D</v>
      </c>
      <c r="N20" s="187"/>
      <c r="O20" s="187"/>
      <c r="P20" s="187"/>
      <c r="Q20" s="187"/>
      <c r="R20" s="187"/>
      <c r="S20" s="141">
        <f t="shared" si="16"/>
        <v>44026</v>
      </c>
      <c r="T20" s="34">
        <f t="shared" si="17"/>
        <v>3</v>
      </c>
      <c r="U20" s="35" t="str">
        <f t="shared" si="4"/>
        <v>T</v>
      </c>
      <c r="V20" s="187"/>
      <c r="W20" s="187"/>
      <c r="X20" s="187"/>
      <c r="Y20" s="187"/>
      <c r="Z20" s="187"/>
      <c r="AA20" s="141">
        <f t="shared" si="35"/>
        <v>44057</v>
      </c>
      <c r="AB20" s="34">
        <f t="shared" si="18"/>
        <v>6</v>
      </c>
      <c r="AC20" s="35" t="str">
        <f t="shared" si="5"/>
        <v>S</v>
      </c>
      <c r="AD20" s="187"/>
      <c r="AE20" s="187"/>
      <c r="AF20" s="187"/>
      <c r="AG20" s="187"/>
      <c r="AH20" s="188"/>
      <c r="AI20" s="141">
        <f t="shared" si="19"/>
        <v>44088</v>
      </c>
      <c r="AJ20" s="34">
        <f t="shared" si="20"/>
        <v>2</v>
      </c>
      <c r="AK20" s="35" t="str">
        <f t="shared" si="6"/>
        <v>S</v>
      </c>
      <c r="AL20" s="188"/>
      <c r="AM20" s="188"/>
      <c r="AN20" s="188"/>
      <c r="AO20" s="188"/>
      <c r="AP20" s="188"/>
      <c r="AQ20" s="141">
        <f t="shared" si="21"/>
        <v>44118</v>
      </c>
      <c r="AR20" s="34">
        <f t="shared" si="22"/>
        <v>4</v>
      </c>
      <c r="AS20" s="35" t="str">
        <f t="shared" si="7"/>
        <v>Q</v>
      </c>
      <c r="AT20" s="188"/>
      <c r="AU20" s="188"/>
      <c r="AV20" s="188"/>
      <c r="AW20" s="188"/>
      <c r="AX20" s="188"/>
      <c r="AY20" s="141">
        <f t="shared" si="23"/>
        <v>44149</v>
      </c>
      <c r="AZ20" s="34">
        <f t="shared" si="24"/>
        <v>7</v>
      </c>
      <c r="BA20" s="35" t="str">
        <f t="shared" si="8"/>
        <v>S</v>
      </c>
      <c r="BB20" s="188"/>
      <c r="BC20" s="188"/>
      <c r="BD20" s="188"/>
      <c r="BE20" s="188"/>
      <c r="BF20" s="188"/>
      <c r="BG20" s="141">
        <f t="shared" si="25"/>
        <v>44179</v>
      </c>
      <c r="BH20" s="34">
        <f t="shared" si="26"/>
        <v>2</v>
      </c>
      <c r="BI20" s="35" t="str">
        <f t="shared" si="9"/>
        <v>S</v>
      </c>
      <c r="BJ20" s="188"/>
      <c r="BK20" s="188"/>
      <c r="BL20" s="188"/>
      <c r="BM20" s="188"/>
      <c r="BN20" s="188"/>
      <c r="BO20" s="141">
        <f t="shared" si="27"/>
        <v>44269</v>
      </c>
      <c r="BP20" s="34">
        <f t="shared" si="28"/>
        <v>1</v>
      </c>
      <c r="BQ20" s="35" t="str">
        <f t="shared" si="10"/>
        <v>D</v>
      </c>
      <c r="BR20" s="188"/>
      <c r="BS20" s="188"/>
      <c r="BT20" s="188"/>
      <c r="BU20" s="188"/>
      <c r="BV20" s="188"/>
      <c r="BW20" s="141">
        <f t="shared" si="29"/>
        <v>44391</v>
      </c>
      <c r="BX20" s="34">
        <f t="shared" si="30"/>
        <v>4</v>
      </c>
      <c r="BY20" s="35" t="str">
        <f t="shared" si="11"/>
        <v>Q</v>
      </c>
      <c r="BZ20" s="188"/>
      <c r="CA20" s="188"/>
      <c r="CB20" s="188"/>
      <c r="CC20" s="188"/>
      <c r="CD20" s="188"/>
      <c r="CE20" s="141">
        <f t="shared" si="31"/>
        <v>44514</v>
      </c>
      <c r="CF20" s="34">
        <f t="shared" si="32"/>
        <v>1</v>
      </c>
      <c r="CG20" s="35" t="str">
        <f t="shared" si="12"/>
        <v>D</v>
      </c>
      <c r="CH20" s="188"/>
      <c r="CI20" s="188"/>
      <c r="CJ20" s="188"/>
      <c r="CK20" s="188"/>
      <c r="CL20" s="188"/>
      <c r="CM20" s="141">
        <f t="shared" si="33"/>
        <v>44544</v>
      </c>
      <c r="CN20" s="34">
        <f t="shared" si="34"/>
        <v>3</v>
      </c>
      <c r="CO20" s="80" t="s">
        <v>109</v>
      </c>
    </row>
    <row r="21" spans="2:95" s="80" customFormat="1" ht="20.25" customHeight="1" thickBot="1" x14ac:dyDescent="0.25">
      <c r="B21" s="32">
        <v>15</v>
      </c>
      <c r="C21" s="33">
        <f t="shared" si="13"/>
        <v>43966</v>
      </c>
      <c r="D21" s="142">
        <f t="shared" si="1"/>
        <v>6</v>
      </c>
      <c r="E21" s="146" t="str">
        <f t="shared" si="2"/>
        <v>S</v>
      </c>
      <c r="F21" s="188"/>
      <c r="G21" s="188"/>
      <c r="H21" s="188"/>
      <c r="I21" s="189"/>
      <c r="J21" s="188"/>
      <c r="K21" s="141">
        <f t="shared" si="14"/>
        <v>43997</v>
      </c>
      <c r="L21" s="34">
        <f t="shared" si="15"/>
        <v>2</v>
      </c>
      <c r="M21" s="35" t="str">
        <f t="shared" si="3"/>
        <v>S</v>
      </c>
      <c r="N21" s="187"/>
      <c r="O21" s="187"/>
      <c r="P21" s="187"/>
      <c r="Q21" s="187"/>
      <c r="R21" s="187"/>
      <c r="S21" s="141">
        <f t="shared" si="16"/>
        <v>44027</v>
      </c>
      <c r="T21" s="34">
        <f t="shared" si="17"/>
        <v>4</v>
      </c>
      <c r="U21" s="35" t="str">
        <f t="shared" si="4"/>
        <v>Q</v>
      </c>
      <c r="V21" s="187"/>
      <c r="W21" s="187"/>
      <c r="X21" s="187"/>
      <c r="Y21" s="187"/>
      <c r="Z21" s="187"/>
      <c r="AA21" s="141">
        <f t="shared" si="35"/>
        <v>44058</v>
      </c>
      <c r="AB21" s="34">
        <f t="shared" si="18"/>
        <v>7</v>
      </c>
      <c r="AC21" s="35" t="str">
        <f t="shared" si="5"/>
        <v>S</v>
      </c>
      <c r="AD21" s="187"/>
      <c r="AE21" s="187"/>
      <c r="AF21" s="187"/>
      <c r="AG21" s="187"/>
      <c r="AH21" s="188"/>
      <c r="AI21" s="141">
        <f t="shared" si="19"/>
        <v>44089</v>
      </c>
      <c r="AJ21" s="34">
        <f t="shared" si="20"/>
        <v>3</v>
      </c>
      <c r="AK21" s="35" t="str">
        <f t="shared" si="6"/>
        <v>T</v>
      </c>
      <c r="AL21" s="188"/>
      <c r="AM21" s="188"/>
      <c r="AO21" s="189"/>
      <c r="AP21" s="188"/>
      <c r="AQ21" s="141">
        <f t="shared" si="21"/>
        <v>44119</v>
      </c>
      <c r="AR21" s="34">
        <f t="shared" si="22"/>
        <v>5</v>
      </c>
      <c r="AS21" s="35" t="str">
        <f t="shared" si="7"/>
        <v>Q</v>
      </c>
      <c r="AT21" s="188"/>
      <c r="AU21" s="188"/>
      <c r="AV21" s="188"/>
      <c r="AW21" s="189"/>
      <c r="AX21" s="188"/>
      <c r="AY21" s="141">
        <f t="shared" si="23"/>
        <v>44150</v>
      </c>
      <c r="AZ21" s="34">
        <f t="shared" si="24"/>
        <v>1</v>
      </c>
      <c r="BA21" s="35" t="str">
        <f t="shared" si="8"/>
        <v>D</v>
      </c>
      <c r="BB21" s="188"/>
      <c r="BC21" s="188"/>
      <c r="BD21" s="188"/>
      <c r="BE21" s="189"/>
      <c r="BF21" s="188"/>
      <c r="BG21" s="141">
        <f t="shared" si="25"/>
        <v>44180</v>
      </c>
      <c r="BH21" s="34">
        <f t="shared" si="26"/>
        <v>3</v>
      </c>
      <c r="BI21" s="35" t="str">
        <f t="shared" si="9"/>
        <v>T</v>
      </c>
      <c r="BJ21" s="188"/>
      <c r="BK21" s="188"/>
      <c r="BL21" s="188"/>
      <c r="BM21" s="189"/>
      <c r="BN21" s="188"/>
      <c r="BO21" s="141">
        <f t="shared" si="27"/>
        <v>44270</v>
      </c>
      <c r="BP21" s="34">
        <f t="shared" si="28"/>
        <v>2</v>
      </c>
      <c r="BQ21" s="35" t="str">
        <f t="shared" si="10"/>
        <v>S</v>
      </c>
      <c r="BR21" s="188"/>
      <c r="BS21" s="188"/>
      <c r="BT21" s="188"/>
      <c r="BU21" s="189"/>
      <c r="BV21" s="188"/>
      <c r="BW21" s="141">
        <f t="shared" si="29"/>
        <v>44392</v>
      </c>
      <c r="BX21" s="34">
        <f t="shared" si="30"/>
        <v>5</v>
      </c>
      <c r="BY21" s="35" t="str">
        <f t="shared" si="11"/>
        <v>Q</v>
      </c>
      <c r="BZ21" s="188"/>
      <c r="CA21" s="188"/>
      <c r="CB21" s="188"/>
      <c r="CC21" s="189"/>
      <c r="CD21" s="188"/>
      <c r="CE21" s="141">
        <f t="shared" si="31"/>
        <v>44515</v>
      </c>
      <c r="CF21" s="34">
        <f t="shared" si="32"/>
        <v>2</v>
      </c>
      <c r="CG21" s="35" t="str">
        <f t="shared" si="12"/>
        <v>S</v>
      </c>
      <c r="CH21" s="188"/>
      <c r="CI21" s="188"/>
      <c r="CJ21" s="188"/>
      <c r="CK21" s="189"/>
      <c r="CL21" s="188"/>
      <c r="CM21" s="141">
        <f t="shared" si="33"/>
        <v>44545</v>
      </c>
      <c r="CN21" s="34">
        <f t="shared" si="34"/>
        <v>4</v>
      </c>
      <c r="CO21" s="80" t="s">
        <v>109</v>
      </c>
    </row>
    <row r="22" spans="2:95" s="80" customFormat="1" ht="20.25" customHeight="1" thickBot="1" x14ac:dyDescent="0.25">
      <c r="B22" s="32">
        <v>16</v>
      </c>
      <c r="C22" s="33">
        <f t="shared" si="13"/>
        <v>43967</v>
      </c>
      <c r="D22" s="142">
        <f t="shared" si="1"/>
        <v>7</v>
      </c>
      <c r="E22" s="146" t="str">
        <f t="shared" si="2"/>
        <v>S</v>
      </c>
      <c r="F22" s="188"/>
      <c r="G22" s="188"/>
      <c r="H22" s="188"/>
      <c r="I22" s="188"/>
      <c r="J22" s="188"/>
      <c r="K22" s="141">
        <f t="shared" si="14"/>
        <v>43998</v>
      </c>
      <c r="L22" s="34">
        <f t="shared" si="15"/>
        <v>3</v>
      </c>
      <c r="M22" s="35" t="str">
        <f t="shared" si="3"/>
        <v>T</v>
      </c>
      <c r="N22" s="187"/>
      <c r="O22" s="187"/>
      <c r="P22" s="187"/>
      <c r="Q22" s="187"/>
      <c r="R22" s="187"/>
      <c r="S22" s="141">
        <f t="shared" si="16"/>
        <v>44028</v>
      </c>
      <c r="T22" s="34">
        <f t="shared" si="17"/>
        <v>5</v>
      </c>
      <c r="U22" s="35" t="str">
        <f t="shared" si="4"/>
        <v>Q</v>
      </c>
      <c r="V22" s="187"/>
      <c r="W22" s="187"/>
      <c r="X22" s="187"/>
      <c r="Y22" s="187"/>
      <c r="Z22" s="187"/>
      <c r="AA22" s="141">
        <f t="shared" si="35"/>
        <v>44059</v>
      </c>
      <c r="AB22" s="34">
        <f t="shared" si="18"/>
        <v>1</v>
      </c>
      <c r="AC22" s="35" t="str">
        <f t="shared" si="5"/>
        <v>D</v>
      </c>
      <c r="AD22" s="187"/>
      <c r="AE22" s="187"/>
      <c r="AF22" s="187"/>
      <c r="AG22" s="187"/>
      <c r="AH22" s="188"/>
      <c r="AI22" s="141">
        <f t="shared" si="19"/>
        <v>44090</v>
      </c>
      <c r="AJ22" s="34">
        <f t="shared" si="20"/>
        <v>4</v>
      </c>
      <c r="AK22" s="35" t="str">
        <f t="shared" si="6"/>
        <v>Q</v>
      </c>
      <c r="AL22" s="188"/>
      <c r="AM22" s="188"/>
      <c r="AN22" s="188"/>
      <c r="AO22" s="188"/>
      <c r="AP22" s="188"/>
      <c r="AQ22" s="141">
        <f t="shared" si="21"/>
        <v>44120</v>
      </c>
      <c r="AR22" s="34">
        <f t="shared" si="22"/>
        <v>6</v>
      </c>
      <c r="AS22" s="35" t="str">
        <f t="shared" si="7"/>
        <v>S</v>
      </c>
      <c r="AT22" s="188"/>
      <c r="AU22" s="188"/>
      <c r="AV22" s="188"/>
      <c r="AW22" s="188"/>
      <c r="AX22" s="188"/>
      <c r="AY22" s="141">
        <f t="shared" si="23"/>
        <v>44151</v>
      </c>
      <c r="AZ22" s="34">
        <f t="shared" si="24"/>
        <v>2</v>
      </c>
      <c r="BA22" s="35" t="str">
        <f t="shared" si="8"/>
        <v>S</v>
      </c>
      <c r="BB22" s="188"/>
      <c r="BC22" s="188"/>
      <c r="BD22" s="188"/>
      <c r="BE22" s="188"/>
      <c r="BF22" s="188"/>
      <c r="BG22" s="141">
        <f t="shared" si="25"/>
        <v>44181</v>
      </c>
      <c r="BH22" s="34">
        <f t="shared" si="26"/>
        <v>4</v>
      </c>
      <c r="BI22" s="35" t="str">
        <f t="shared" si="9"/>
        <v>Q</v>
      </c>
      <c r="BJ22" s="188"/>
      <c r="BK22" s="188"/>
      <c r="BL22" s="188"/>
      <c r="BM22" s="188"/>
      <c r="BN22" s="188"/>
      <c r="BO22" s="141">
        <f t="shared" si="27"/>
        <v>44271</v>
      </c>
      <c r="BP22" s="34">
        <f t="shared" si="28"/>
        <v>3</v>
      </c>
      <c r="BQ22" s="35" t="str">
        <f t="shared" si="10"/>
        <v>T</v>
      </c>
      <c r="BR22" s="188"/>
      <c r="BS22" s="188"/>
      <c r="BT22" s="188"/>
      <c r="BU22" s="188"/>
      <c r="BV22" s="188"/>
      <c r="BW22" s="141">
        <f t="shared" si="29"/>
        <v>44393</v>
      </c>
      <c r="BX22" s="34">
        <f t="shared" si="30"/>
        <v>6</v>
      </c>
      <c r="BY22" s="35" t="str">
        <f t="shared" si="11"/>
        <v>S</v>
      </c>
      <c r="BZ22" s="188"/>
      <c r="CA22" s="188"/>
      <c r="CB22" s="188"/>
      <c r="CC22" s="188"/>
      <c r="CD22" s="188"/>
      <c r="CE22" s="141">
        <f t="shared" si="31"/>
        <v>44516</v>
      </c>
      <c r="CF22" s="34">
        <f t="shared" si="32"/>
        <v>3</v>
      </c>
      <c r="CG22" s="35" t="str">
        <f t="shared" si="12"/>
        <v>T</v>
      </c>
      <c r="CH22" s="188"/>
      <c r="CI22" s="188"/>
      <c r="CJ22" s="188"/>
      <c r="CK22" s="188"/>
      <c r="CL22" s="188"/>
      <c r="CM22" s="141">
        <f t="shared" si="33"/>
        <v>44546</v>
      </c>
      <c r="CN22" s="34">
        <f t="shared" si="34"/>
        <v>5</v>
      </c>
      <c r="CO22" s="80" t="s">
        <v>109</v>
      </c>
    </row>
    <row r="23" spans="2:95" s="80" customFormat="1" ht="20.25" customHeight="1" thickBot="1" x14ac:dyDescent="0.25">
      <c r="B23" s="32">
        <v>17</v>
      </c>
      <c r="C23" s="33">
        <f t="shared" si="13"/>
        <v>43968</v>
      </c>
      <c r="D23" s="142">
        <f t="shared" si="1"/>
        <v>1</v>
      </c>
      <c r="E23" s="146" t="str">
        <f t="shared" si="2"/>
        <v>D</v>
      </c>
      <c r="F23" s="188"/>
      <c r="G23" s="188"/>
      <c r="H23" s="188"/>
      <c r="I23" s="188"/>
      <c r="J23" s="188"/>
      <c r="K23" s="141">
        <f t="shared" si="14"/>
        <v>43999</v>
      </c>
      <c r="L23" s="34">
        <f t="shared" si="15"/>
        <v>4</v>
      </c>
      <c r="M23" s="35" t="str">
        <f t="shared" si="3"/>
        <v>Q</v>
      </c>
      <c r="N23" s="187"/>
      <c r="O23" s="187"/>
      <c r="P23" s="187"/>
      <c r="Q23" s="187"/>
      <c r="R23" s="187"/>
      <c r="S23" s="141">
        <f t="shared" si="16"/>
        <v>44029</v>
      </c>
      <c r="T23" s="34">
        <f t="shared" si="17"/>
        <v>6</v>
      </c>
      <c r="U23" s="35" t="str">
        <f t="shared" si="4"/>
        <v>S</v>
      </c>
      <c r="V23" s="187"/>
      <c r="W23" s="187"/>
      <c r="X23" s="187"/>
      <c r="Y23" s="187"/>
      <c r="Z23" s="187"/>
      <c r="AA23" s="141">
        <f t="shared" si="35"/>
        <v>44060</v>
      </c>
      <c r="AB23" s="34">
        <f t="shared" si="18"/>
        <v>2</v>
      </c>
      <c r="AC23" s="35" t="str">
        <f t="shared" si="5"/>
        <v>S</v>
      </c>
      <c r="AD23" s="187"/>
      <c r="AE23" s="187"/>
      <c r="AF23" s="187"/>
      <c r="AG23" s="187"/>
      <c r="AH23" s="188"/>
      <c r="AI23" s="141">
        <f t="shared" si="19"/>
        <v>44091</v>
      </c>
      <c r="AJ23" s="34">
        <f t="shared" si="20"/>
        <v>5</v>
      </c>
      <c r="AK23" s="35" t="str">
        <f t="shared" si="6"/>
        <v>Q</v>
      </c>
      <c r="AL23" s="188"/>
      <c r="AM23" s="188"/>
      <c r="AN23" s="188"/>
      <c r="AO23" s="188"/>
      <c r="AP23" s="188"/>
      <c r="AQ23" s="141">
        <f t="shared" si="21"/>
        <v>44121</v>
      </c>
      <c r="AR23" s="34">
        <f t="shared" si="22"/>
        <v>7</v>
      </c>
      <c r="AS23" s="35" t="str">
        <f t="shared" si="7"/>
        <v>S</v>
      </c>
      <c r="AT23" s="188"/>
      <c r="AU23" s="188"/>
      <c r="AV23" s="188"/>
      <c r="AW23" s="188"/>
      <c r="AX23" s="188"/>
      <c r="AY23" s="141">
        <f t="shared" si="23"/>
        <v>44152</v>
      </c>
      <c r="AZ23" s="34">
        <f t="shared" si="24"/>
        <v>3</v>
      </c>
      <c r="BA23" s="35" t="str">
        <f t="shared" si="8"/>
        <v>T</v>
      </c>
      <c r="BB23" s="188"/>
      <c r="BC23" s="188"/>
      <c r="BD23" s="188"/>
      <c r="BE23" s="188"/>
      <c r="BF23" s="188"/>
      <c r="BG23" s="141">
        <f t="shared" si="25"/>
        <v>44182</v>
      </c>
      <c r="BH23" s="34">
        <f t="shared" si="26"/>
        <v>5</v>
      </c>
      <c r="BI23" s="35" t="str">
        <f t="shared" si="9"/>
        <v>Q</v>
      </c>
      <c r="BJ23" s="188"/>
      <c r="BK23" s="188"/>
      <c r="BL23" s="188"/>
      <c r="BM23" s="188"/>
      <c r="BN23" s="188"/>
      <c r="BO23" s="141">
        <f t="shared" si="27"/>
        <v>44272</v>
      </c>
      <c r="BP23" s="34">
        <f t="shared" si="28"/>
        <v>4</v>
      </c>
      <c r="BQ23" s="35" t="str">
        <f t="shared" si="10"/>
        <v>Q</v>
      </c>
      <c r="BR23" s="188"/>
      <c r="BS23" s="188"/>
      <c r="BT23" s="188"/>
      <c r="BU23" s="188"/>
      <c r="BV23" s="188"/>
      <c r="BW23" s="141">
        <f t="shared" si="29"/>
        <v>44394</v>
      </c>
      <c r="BX23" s="34">
        <f t="shared" si="30"/>
        <v>7</v>
      </c>
      <c r="BY23" s="35" t="str">
        <f t="shared" si="11"/>
        <v>S</v>
      </c>
      <c r="BZ23" s="188"/>
      <c r="CA23" s="188"/>
      <c r="CB23" s="188"/>
      <c r="CC23" s="188"/>
      <c r="CD23" s="188"/>
      <c r="CE23" s="141">
        <f t="shared" si="31"/>
        <v>44517</v>
      </c>
      <c r="CF23" s="34">
        <f t="shared" si="32"/>
        <v>4</v>
      </c>
      <c r="CG23" s="35" t="str">
        <f t="shared" si="12"/>
        <v>Q</v>
      </c>
      <c r="CH23" s="188"/>
      <c r="CI23" s="188"/>
      <c r="CJ23" s="188"/>
      <c r="CK23" s="188"/>
      <c r="CL23" s="188"/>
      <c r="CM23" s="141">
        <f t="shared" si="33"/>
        <v>44547</v>
      </c>
      <c r="CN23" s="34">
        <f t="shared" si="34"/>
        <v>6</v>
      </c>
      <c r="CO23" s="80" t="s">
        <v>109</v>
      </c>
    </row>
    <row r="24" spans="2:95" s="80" customFormat="1" ht="20.25" customHeight="1" thickBot="1" x14ac:dyDescent="0.25">
      <c r="B24" s="32">
        <v>18</v>
      </c>
      <c r="C24" s="33">
        <f t="shared" si="13"/>
        <v>43969</v>
      </c>
      <c r="D24" s="142">
        <f t="shared" si="1"/>
        <v>2</v>
      </c>
      <c r="E24" s="146" t="str">
        <f t="shared" si="2"/>
        <v>S</v>
      </c>
      <c r="F24" s="188"/>
      <c r="G24" s="188"/>
      <c r="H24" s="188"/>
      <c r="I24" s="188"/>
      <c r="J24" s="188"/>
      <c r="K24" s="141">
        <f t="shared" si="14"/>
        <v>44000</v>
      </c>
      <c r="L24" s="34">
        <f t="shared" si="15"/>
        <v>5</v>
      </c>
      <c r="M24" s="35" t="str">
        <f t="shared" si="3"/>
        <v>Q</v>
      </c>
      <c r="N24" s="187"/>
      <c r="O24" s="187"/>
      <c r="P24" s="187"/>
      <c r="Q24" s="187"/>
      <c r="R24" s="187"/>
      <c r="S24" s="141">
        <f t="shared" si="16"/>
        <v>44030</v>
      </c>
      <c r="T24" s="34">
        <f t="shared" si="17"/>
        <v>7</v>
      </c>
      <c r="U24" s="35" t="str">
        <f t="shared" si="4"/>
        <v>S</v>
      </c>
      <c r="V24" s="187"/>
      <c r="W24" s="187"/>
      <c r="X24" s="187"/>
      <c r="Y24" s="187"/>
      <c r="Z24" s="187"/>
      <c r="AA24" s="141">
        <f t="shared" si="35"/>
        <v>44061</v>
      </c>
      <c r="AB24" s="34">
        <f t="shared" si="18"/>
        <v>3</v>
      </c>
      <c r="AC24" s="35" t="str">
        <f t="shared" si="5"/>
        <v>T</v>
      </c>
      <c r="AD24" s="187"/>
      <c r="AE24" s="187"/>
      <c r="AF24" s="187"/>
      <c r="AG24" s="187"/>
      <c r="AH24" s="188"/>
      <c r="AI24" s="141">
        <f t="shared" si="19"/>
        <v>44092</v>
      </c>
      <c r="AJ24" s="34">
        <f t="shared" si="20"/>
        <v>6</v>
      </c>
      <c r="AK24" s="35" t="str">
        <f t="shared" si="6"/>
        <v>S</v>
      </c>
      <c r="AL24" s="188"/>
      <c r="AM24" s="188"/>
      <c r="AN24" s="188"/>
      <c r="AO24" s="188"/>
      <c r="AP24" s="188"/>
      <c r="AQ24" s="141">
        <f t="shared" si="21"/>
        <v>44122</v>
      </c>
      <c r="AR24" s="34">
        <f t="shared" si="22"/>
        <v>1</v>
      </c>
      <c r="AS24" s="35" t="str">
        <f t="shared" si="7"/>
        <v>D</v>
      </c>
      <c r="AT24" s="188"/>
      <c r="AU24" s="188"/>
      <c r="AV24" s="188"/>
      <c r="AW24" s="188"/>
      <c r="AX24" s="188"/>
      <c r="AY24" s="141">
        <f t="shared" si="23"/>
        <v>44153</v>
      </c>
      <c r="AZ24" s="34">
        <f t="shared" si="24"/>
        <v>4</v>
      </c>
      <c r="BA24" s="35" t="str">
        <f t="shared" si="8"/>
        <v>Q</v>
      </c>
      <c r="BB24" s="188"/>
      <c r="BC24" s="188"/>
      <c r="BD24" s="188"/>
      <c r="BE24" s="188"/>
      <c r="BF24" s="188"/>
      <c r="BG24" s="141">
        <f t="shared" si="25"/>
        <v>44183</v>
      </c>
      <c r="BH24" s="34">
        <f t="shared" si="26"/>
        <v>6</v>
      </c>
      <c r="BI24" s="35" t="str">
        <f t="shared" si="9"/>
        <v>S</v>
      </c>
      <c r="BJ24" s="188"/>
      <c r="BK24" s="188"/>
      <c r="BL24" s="188"/>
      <c r="BM24" s="188"/>
      <c r="BN24" s="188"/>
      <c r="BO24" s="141">
        <f t="shared" si="27"/>
        <v>44273</v>
      </c>
      <c r="BP24" s="34">
        <f t="shared" si="28"/>
        <v>5</v>
      </c>
      <c r="BQ24" s="35" t="str">
        <f t="shared" si="10"/>
        <v>Q</v>
      </c>
      <c r="BR24" s="188"/>
      <c r="BS24" s="188"/>
      <c r="BT24" s="188"/>
      <c r="BU24" s="188"/>
      <c r="BV24" s="188"/>
      <c r="BW24" s="141">
        <f t="shared" si="29"/>
        <v>44395</v>
      </c>
      <c r="BX24" s="34">
        <f t="shared" si="30"/>
        <v>1</v>
      </c>
      <c r="BY24" s="35" t="str">
        <f t="shared" si="11"/>
        <v>D</v>
      </c>
      <c r="BZ24" s="188"/>
      <c r="CA24" s="188"/>
      <c r="CB24" s="188"/>
      <c r="CC24" s="188"/>
      <c r="CD24" s="188"/>
      <c r="CE24" s="141">
        <f t="shared" si="31"/>
        <v>44518</v>
      </c>
      <c r="CF24" s="34">
        <f t="shared" si="32"/>
        <v>5</v>
      </c>
      <c r="CG24" s="35" t="str">
        <f t="shared" si="12"/>
        <v>Q</v>
      </c>
      <c r="CH24" s="188"/>
      <c r="CI24" s="188"/>
      <c r="CJ24" s="188"/>
      <c r="CK24" s="188"/>
      <c r="CL24" s="188"/>
      <c r="CM24" s="141">
        <f t="shared" si="33"/>
        <v>44548</v>
      </c>
      <c r="CN24" s="34">
        <f t="shared" si="34"/>
        <v>7</v>
      </c>
      <c r="CO24" s="80" t="s">
        <v>109</v>
      </c>
    </row>
    <row r="25" spans="2:95" s="80" customFormat="1" ht="20.25" customHeight="1" thickBot="1" x14ac:dyDescent="0.25">
      <c r="B25" s="32">
        <v>19</v>
      </c>
      <c r="C25" s="33">
        <f t="shared" si="13"/>
        <v>43970</v>
      </c>
      <c r="D25" s="142">
        <f t="shared" si="1"/>
        <v>3</v>
      </c>
      <c r="E25" s="146" t="str">
        <f t="shared" si="2"/>
        <v>T</v>
      </c>
      <c r="F25" s="188"/>
      <c r="G25" s="188"/>
      <c r="H25" s="188"/>
      <c r="I25" s="188"/>
      <c r="K25" s="141">
        <f t="shared" si="14"/>
        <v>44001</v>
      </c>
      <c r="L25" s="34">
        <f t="shared" si="15"/>
        <v>6</v>
      </c>
      <c r="M25" s="35" t="str">
        <f t="shared" si="3"/>
        <v>S</v>
      </c>
      <c r="N25" s="187"/>
      <c r="O25" s="187"/>
      <c r="P25" s="187"/>
      <c r="Q25" s="187"/>
      <c r="R25" s="187"/>
      <c r="S25" s="141">
        <f t="shared" si="16"/>
        <v>44031</v>
      </c>
      <c r="T25" s="34">
        <f t="shared" si="17"/>
        <v>1</v>
      </c>
      <c r="U25" s="35" t="str">
        <f t="shared" si="4"/>
        <v>D</v>
      </c>
      <c r="V25" s="187"/>
      <c r="W25" s="187"/>
      <c r="X25" s="187"/>
      <c r="Y25" s="187"/>
      <c r="Z25" s="187"/>
      <c r="AA25" s="141">
        <f t="shared" si="35"/>
        <v>44062</v>
      </c>
      <c r="AB25" s="34">
        <f t="shared" si="18"/>
        <v>4</v>
      </c>
      <c r="AC25" s="35" t="str">
        <f t="shared" si="5"/>
        <v>Q</v>
      </c>
      <c r="AD25" s="187"/>
      <c r="AE25" s="187"/>
      <c r="AF25" s="187"/>
      <c r="AG25" s="187"/>
      <c r="AH25" s="188"/>
      <c r="AI25" s="141">
        <f t="shared" si="19"/>
        <v>44093</v>
      </c>
      <c r="AJ25" s="34">
        <f t="shared" si="20"/>
        <v>7</v>
      </c>
      <c r="AK25" s="35" t="str">
        <f t="shared" si="6"/>
        <v>S</v>
      </c>
      <c r="AL25" s="188"/>
      <c r="AM25" s="188"/>
      <c r="AN25" s="188"/>
      <c r="AO25" s="188"/>
      <c r="AP25" s="188"/>
      <c r="AQ25" s="141">
        <f t="shared" si="21"/>
        <v>44123</v>
      </c>
      <c r="AR25" s="34">
        <f t="shared" si="22"/>
        <v>2</v>
      </c>
      <c r="AS25" s="35" t="str">
        <f t="shared" si="7"/>
        <v>S</v>
      </c>
      <c r="AT25" s="188"/>
      <c r="AU25" s="188"/>
      <c r="AV25" s="188"/>
      <c r="AW25" s="188"/>
      <c r="AX25" s="188"/>
      <c r="AY25" s="141">
        <f t="shared" si="23"/>
        <v>44154</v>
      </c>
      <c r="AZ25" s="34">
        <f t="shared" si="24"/>
        <v>5</v>
      </c>
      <c r="BA25" s="35" t="str">
        <f t="shared" si="8"/>
        <v>Q</v>
      </c>
      <c r="BB25" s="188"/>
      <c r="BC25" s="188"/>
      <c r="BD25" s="188"/>
      <c r="BE25" s="188"/>
      <c r="BF25" s="188"/>
      <c r="BG25" s="141">
        <f t="shared" si="25"/>
        <v>44184</v>
      </c>
      <c r="BH25" s="34">
        <f t="shared" si="26"/>
        <v>7</v>
      </c>
      <c r="BI25" s="35" t="str">
        <f t="shared" si="9"/>
        <v>S</v>
      </c>
      <c r="BJ25" s="188"/>
      <c r="BK25" s="188"/>
      <c r="BL25" s="188"/>
      <c r="BM25" s="188"/>
      <c r="BN25" s="188"/>
      <c r="BO25" s="141">
        <f t="shared" si="27"/>
        <v>44274</v>
      </c>
      <c r="BP25" s="34">
        <f t="shared" si="28"/>
        <v>6</v>
      </c>
      <c r="BQ25" s="35" t="str">
        <f t="shared" si="10"/>
        <v>S</v>
      </c>
      <c r="BR25" s="188"/>
      <c r="BS25" s="188"/>
      <c r="BT25" s="188"/>
      <c r="BU25" s="188"/>
      <c r="BV25" s="188"/>
      <c r="BW25" s="141">
        <f t="shared" si="29"/>
        <v>44396</v>
      </c>
      <c r="BX25" s="34">
        <f t="shared" si="30"/>
        <v>2</v>
      </c>
      <c r="BY25" s="35" t="str">
        <f t="shared" si="11"/>
        <v>S</v>
      </c>
      <c r="BZ25" s="188"/>
      <c r="CA25" s="188"/>
      <c r="CB25" s="188"/>
      <c r="CC25" s="188"/>
      <c r="CD25" s="188"/>
      <c r="CE25" s="141">
        <f t="shared" si="31"/>
        <v>44519</v>
      </c>
      <c r="CF25" s="34">
        <f t="shared" si="32"/>
        <v>6</v>
      </c>
      <c r="CG25" s="35" t="str">
        <f t="shared" si="12"/>
        <v>S</v>
      </c>
      <c r="CH25" s="188"/>
      <c r="CI25" s="188"/>
      <c r="CJ25" s="188"/>
      <c r="CK25" s="188"/>
      <c r="CL25" s="188"/>
      <c r="CM25" s="141">
        <f t="shared" si="33"/>
        <v>44549</v>
      </c>
      <c r="CN25" s="34">
        <f t="shared" si="34"/>
        <v>1</v>
      </c>
      <c r="CO25" s="80" t="s">
        <v>109</v>
      </c>
    </row>
    <row r="26" spans="2:95" s="80" customFormat="1" ht="20.25" customHeight="1" thickBot="1" x14ac:dyDescent="0.25">
      <c r="B26" s="32">
        <v>20</v>
      </c>
      <c r="C26" s="33">
        <f t="shared" si="13"/>
        <v>43971</v>
      </c>
      <c r="D26" s="142">
        <f t="shared" si="1"/>
        <v>4</v>
      </c>
      <c r="E26" s="146" t="str">
        <f t="shared" si="2"/>
        <v>Q</v>
      </c>
      <c r="F26" s="188"/>
      <c r="G26" s="188"/>
      <c r="H26" s="188"/>
      <c r="I26" s="188"/>
      <c r="J26" s="188"/>
      <c r="K26" s="141">
        <f t="shared" si="14"/>
        <v>44002</v>
      </c>
      <c r="L26" s="34">
        <f t="shared" si="15"/>
        <v>7</v>
      </c>
      <c r="M26" s="35" t="str">
        <f t="shared" si="3"/>
        <v>S</v>
      </c>
      <c r="N26" s="187"/>
      <c r="O26" s="187"/>
      <c r="P26" s="187"/>
      <c r="Q26" s="187"/>
      <c r="R26" s="187"/>
      <c r="S26" s="141">
        <f t="shared" si="16"/>
        <v>44032</v>
      </c>
      <c r="T26" s="34">
        <f t="shared" si="17"/>
        <v>2</v>
      </c>
      <c r="U26" s="35" t="str">
        <f t="shared" si="4"/>
        <v>S</v>
      </c>
      <c r="V26" s="187"/>
      <c r="W26" s="187"/>
      <c r="X26" s="187"/>
      <c r="Y26" s="187"/>
      <c r="Z26" s="187"/>
      <c r="AA26" s="141">
        <f t="shared" si="35"/>
        <v>44063</v>
      </c>
      <c r="AB26" s="34">
        <f t="shared" si="18"/>
        <v>5</v>
      </c>
      <c r="AC26" s="35" t="str">
        <f t="shared" si="5"/>
        <v>Q</v>
      </c>
      <c r="AD26" s="187"/>
      <c r="AE26" s="187"/>
      <c r="AF26" s="187"/>
      <c r="AG26" s="187"/>
      <c r="AH26" s="188"/>
      <c r="AI26" s="141">
        <f t="shared" si="19"/>
        <v>44094</v>
      </c>
      <c r="AJ26" s="34">
        <f t="shared" si="20"/>
        <v>1</v>
      </c>
      <c r="AK26" s="35" t="str">
        <f t="shared" si="6"/>
        <v>D</v>
      </c>
      <c r="AL26" s="188"/>
      <c r="AM26" s="188"/>
      <c r="AN26" s="188"/>
      <c r="AO26" s="188"/>
      <c r="AP26" s="188"/>
      <c r="AQ26" s="141">
        <f t="shared" si="21"/>
        <v>44124</v>
      </c>
      <c r="AR26" s="34">
        <f t="shared" si="22"/>
        <v>3</v>
      </c>
      <c r="AS26" s="35" t="str">
        <f t="shared" si="7"/>
        <v>T</v>
      </c>
      <c r="AT26" s="188"/>
      <c r="AU26" s="188"/>
      <c r="AV26" s="188"/>
      <c r="AW26" s="188"/>
      <c r="AX26" s="188"/>
      <c r="AY26" s="141">
        <f t="shared" si="23"/>
        <v>44155</v>
      </c>
      <c r="AZ26" s="34">
        <f t="shared" si="24"/>
        <v>6</v>
      </c>
      <c r="BA26" s="35" t="str">
        <f t="shared" si="8"/>
        <v>S</v>
      </c>
      <c r="BB26" s="188"/>
      <c r="BC26" s="188"/>
      <c r="BD26" s="188"/>
      <c r="BE26" s="188"/>
      <c r="BF26" s="188"/>
      <c r="BG26" s="141">
        <f t="shared" si="25"/>
        <v>44185</v>
      </c>
      <c r="BH26" s="34">
        <f t="shared" si="26"/>
        <v>1</v>
      </c>
      <c r="BI26" s="35" t="str">
        <f t="shared" si="9"/>
        <v>D</v>
      </c>
      <c r="BJ26" s="188"/>
      <c r="BK26" s="188"/>
      <c r="BL26" s="188"/>
      <c r="BM26" s="188"/>
      <c r="BN26" s="188"/>
      <c r="BO26" s="141">
        <f t="shared" si="27"/>
        <v>44275</v>
      </c>
      <c r="BP26" s="34">
        <f t="shared" si="28"/>
        <v>7</v>
      </c>
      <c r="BQ26" s="35" t="str">
        <f t="shared" si="10"/>
        <v>S</v>
      </c>
      <c r="BR26" s="188"/>
      <c r="BS26" s="188"/>
      <c r="BT26" s="188"/>
      <c r="BU26" s="188"/>
      <c r="BV26" s="188"/>
      <c r="BW26" s="141">
        <f t="shared" si="29"/>
        <v>44397</v>
      </c>
      <c r="BX26" s="34">
        <f t="shared" si="30"/>
        <v>3</v>
      </c>
      <c r="BY26" s="35" t="str">
        <f t="shared" si="11"/>
        <v>T</v>
      </c>
      <c r="BZ26" s="188"/>
      <c r="CA26" s="188"/>
      <c r="CB26" s="188"/>
      <c r="CC26" s="188"/>
      <c r="CD26" s="188"/>
      <c r="CE26" s="141">
        <f t="shared" si="31"/>
        <v>44520</v>
      </c>
      <c r="CF26" s="34">
        <f t="shared" si="32"/>
        <v>7</v>
      </c>
      <c r="CG26" s="35" t="str">
        <f t="shared" si="12"/>
        <v>S</v>
      </c>
      <c r="CH26" s="188"/>
      <c r="CI26" s="188"/>
      <c r="CJ26" s="188"/>
      <c r="CK26" s="188"/>
      <c r="CL26" s="188"/>
      <c r="CM26" s="141">
        <f t="shared" si="33"/>
        <v>44550</v>
      </c>
      <c r="CN26" s="34">
        <f t="shared" si="34"/>
        <v>2</v>
      </c>
      <c r="CO26" s="80" t="s">
        <v>109</v>
      </c>
    </row>
    <row r="27" spans="2:95" s="80" customFormat="1" ht="20.25" customHeight="1" thickBot="1" x14ac:dyDescent="0.25">
      <c r="B27" s="32">
        <v>21</v>
      </c>
      <c r="C27" s="33">
        <f t="shared" si="13"/>
        <v>43972</v>
      </c>
      <c r="D27" s="142">
        <f t="shared" si="1"/>
        <v>5</v>
      </c>
      <c r="E27" s="146" t="str">
        <f t="shared" si="2"/>
        <v>Q</v>
      </c>
      <c r="F27" s="188"/>
      <c r="G27" s="188"/>
      <c r="H27" s="188"/>
      <c r="I27" s="188"/>
      <c r="J27" s="188"/>
      <c r="K27" s="141">
        <f t="shared" si="14"/>
        <v>44003</v>
      </c>
      <c r="L27" s="34">
        <f t="shared" si="15"/>
        <v>1</v>
      </c>
      <c r="M27" s="35" t="str">
        <f t="shared" si="3"/>
        <v>D</v>
      </c>
      <c r="N27" s="187"/>
      <c r="O27" s="187"/>
      <c r="P27" s="187"/>
      <c r="Q27" s="187"/>
      <c r="R27" s="187"/>
      <c r="S27" s="141">
        <f t="shared" si="16"/>
        <v>44033</v>
      </c>
      <c r="T27" s="34">
        <f t="shared" si="17"/>
        <v>3</v>
      </c>
      <c r="U27" s="35" t="str">
        <f t="shared" si="4"/>
        <v>T</v>
      </c>
      <c r="V27" s="187"/>
      <c r="W27" s="187"/>
      <c r="X27" s="187"/>
      <c r="Y27" s="187"/>
      <c r="Z27" s="187"/>
      <c r="AA27" s="141">
        <f t="shared" si="35"/>
        <v>44064</v>
      </c>
      <c r="AB27" s="34">
        <f t="shared" si="18"/>
        <v>6</v>
      </c>
      <c r="AC27" s="35" t="str">
        <f t="shared" si="5"/>
        <v>S</v>
      </c>
      <c r="AD27" s="187"/>
      <c r="AE27" s="187"/>
      <c r="AF27" s="187"/>
      <c r="AG27" s="187"/>
      <c r="AH27" s="188"/>
      <c r="AI27" s="141">
        <f t="shared" si="19"/>
        <v>44095</v>
      </c>
      <c r="AJ27" s="34">
        <f t="shared" si="20"/>
        <v>2</v>
      </c>
      <c r="AK27" s="35" t="str">
        <f t="shared" si="6"/>
        <v>S</v>
      </c>
      <c r="AL27" s="188"/>
      <c r="AM27" s="188"/>
      <c r="AN27" s="188"/>
      <c r="AO27" s="188"/>
      <c r="AP27" s="188"/>
      <c r="AQ27" s="141">
        <f t="shared" si="21"/>
        <v>44125</v>
      </c>
      <c r="AR27" s="34">
        <f t="shared" si="22"/>
        <v>4</v>
      </c>
      <c r="AS27" s="35" t="str">
        <f t="shared" si="7"/>
        <v>Q</v>
      </c>
      <c r="AT27" s="188"/>
      <c r="AU27" s="188"/>
      <c r="AV27" s="188"/>
      <c r="AW27" s="188"/>
      <c r="AX27" s="188"/>
      <c r="AY27" s="141">
        <f t="shared" si="23"/>
        <v>44156</v>
      </c>
      <c r="AZ27" s="34">
        <f t="shared" si="24"/>
        <v>7</v>
      </c>
      <c r="BA27" s="35" t="str">
        <f t="shared" si="8"/>
        <v>S</v>
      </c>
      <c r="BB27" s="188"/>
      <c r="BC27" s="188"/>
      <c r="BD27" s="188"/>
      <c r="BE27" s="188"/>
      <c r="BF27" s="188"/>
      <c r="BG27" s="141">
        <f t="shared" si="25"/>
        <v>44186</v>
      </c>
      <c r="BH27" s="34">
        <f t="shared" si="26"/>
        <v>2</v>
      </c>
      <c r="BI27" s="35" t="str">
        <f t="shared" si="9"/>
        <v>S</v>
      </c>
      <c r="BJ27" s="188"/>
      <c r="BK27" s="188"/>
      <c r="BL27" s="188"/>
      <c r="BM27" s="188"/>
      <c r="BN27" s="188"/>
      <c r="BO27" s="141">
        <f t="shared" si="27"/>
        <v>44276</v>
      </c>
      <c r="BP27" s="34">
        <f t="shared" si="28"/>
        <v>1</v>
      </c>
      <c r="BQ27" s="35" t="str">
        <f t="shared" si="10"/>
        <v>D</v>
      </c>
      <c r="BR27" s="188"/>
      <c r="BS27" s="188"/>
      <c r="BT27" s="188"/>
      <c r="BU27" s="188"/>
      <c r="BV27" s="188"/>
      <c r="BW27" s="141">
        <f t="shared" si="29"/>
        <v>44398</v>
      </c>
      <c r="BX27" s="34">
        <f t="shared" si="30"/>
        <v>4</v>
      </c>
      <c r="BY27" s="35" t="str">
        <f t="shared" si="11"/>
        <v>Q</v>
      </c>
      <c r="BZ27" s="188"/>
      <c r="CA27" s="188"/>
      <c r="CB27" s="188"/>
      <c r="CC27" s="188"/>
      <c r="CD27" s="188"/>
      <c r="CE27" s="141">
        <f t="shared" si="31"/>
        <v>44521</v>
      </c>
      <c r="CF27" s="34">
        <f t="shared" si="32"/>
        <v>1</v>
      </c>
      <c r="CG27" s="35" t="str">
        <f t="shared" si="12"/>
        <v>D</v>
      </c>
      <c r="CH27" s="188"/>
      <c r="CI27" s="188"/>
      <c r="CJ27" s="188"/>
      <c r="CK27" s="188"/>
      <c r="CL27" s="188"/>
      <c r="CM27" s="141">
        <f t="shared" si="33"/>
        <v>44551</v>
      </c>
      <c r="CN27" s="34">
        <f t="shared" si="34"/>
        <v>3</v>
      </c>
      <c r="CO27" s="80" t="s">
        <v>109</v>
      </c>
    </row>
    <row r="28" spans="2:95" s="80" customFormat="1" ht="20.25" customHeight="1" thickBot="1" x14ac:dyDescent="0.25">
      <c r="B28" s="32">
        <v>22</v>
      </c>
      <c r="C28" s="33">
        <f t="shared" si="13"/>
        <v>43973</v>
      </c>
      <c r="D28" s="142">
        <f t="shared" si="1"/>
        <v>6</v>
      </c>
      <c r="E28" s="146" t="str">
        <f t="shared" si="2"/>
        <v>S</v>
      </c>
      <c r="F28" s="188"/>
      <c r="G28" s="190"/>
      <c r="H28" s="188"/>
      <c r="I28" s="188"/>
      <c r="J28" s="188"/>
      <c r="K28" s="141">
        <f t="shared" si="14"/>
        <v>44004</v>
      </c>
      <c r="L28" s="34">
        <f t="shared" si="15"/>
        <v>2</v>
      </c>
      <c r="M28" s="35" t="str">
        <f t="shared" si="3"/>
        <v>S</v>
      </c>
      <c r="N28" s="187"/>
      <c r="O28" s="187"/>
      <c r="P28" s="187"/>
      <c r="Q28" s="187"/>
      <c r="R28" s="187"/>
      <c r="S28" s="141">
        <f t="shared" si="16"/>
        <v>44034</v>
      </c>
      <c r="T28" s="34">
        <f t="shared" si="17"/>
        <v>4</v>
      </c>
      <c r="U28" s="35" t="str">
        <f t="shared" si="4"/>
        <v>Q</v>
      </c>
      <c r="V28" s="187"/>
      <c r="W28" s="187"/>
      <c r="X28" s="187"/>
      <c r="Y28" s="187"/>
      <c r="Z28" s="187"/>
      <c r="AA28" s="141">
        <f t="shared" si="35"/>
        <v>44065</v>
      </c>
      <c r="AB28" s="34">
        <f t="shared" si="18"/>
        <v>7</v>
      </c>
      <c r="AC28" s="35" t="str">
        <f t="shared" si="5"/>
        <v>S</v>
      </c>
      <c r="AD28" s="187"/>
      <c r="AE28" s="187"/>
      <c r="AF28" s="187"/>
      <c r="AG28" s="187"/>
      <c r="AH28" s="188"/>
      <c r="AI28" s="141">
        <f t="shared" si="19"/>
        <v>44096</v>
      </c>
      <c r="AJ28" s="34">
        <f t="shared" si="20"/>
        <v>3</v>
      </c>
      <c r="AK28" s="35" t="str">
        <f t="shared" si="6"/>
        <v>T</v>
      </c>
      <c r="AL28" s="188"/>
      <c r="AM28" s="188"/>
      <c r="AN28" s="188"/>
      <c r="AO28" s="188"/>
      <c r="AP28" s="188"/>
      <c r="AQ28" s="141">
        <f t="shared" si="21"/>
        <v>44126</v>
      </c>
      <c r="AR28" s="34">
        <f t="shared" si="22"/>
        <v>5</v>
      </c>
      <c r="AS28" s="35" t="str">
        <f t="shared" si="7"/>
        <v>Q</v>
      </c>
      <c r="AT28" s="188"/>
      <c r="AU28" s="188"/>
      <c r="AV28" s="188"/>
      <c r="AW28" s="188"/>
      <c r="AX28" s="188"/>
      <c r="AY28" s="141">
        <f t="shared" si="23"/>
        <v>44157</v>
      </c>
      <c r="AZ28" s="34">
        <f t="shared" si="24"/>
        <v>1</v>
      </c>
      <c r="BA28" s="35" t="str">
        <f t="shared" si="8"/>
        <v>D</v>
      </c>
      <c r="BB28" s="188"/>
      <c r="BC28" s="188"/>
      <c r="BD28" s="188"/>
      <c r="BE28" s="188"/>
      <c r="BF28" s="188"/>
      <c r="BG28" s="141">
        <f t="shared" si="25"/>
        <v>44187</v>
      </c>
      <c r="BH28" s="34">
        <f t="shared" si="26"/>
        <v>3</v>
      </c>
      <c r="BI28" s="35" t="str">
        <f t="shared" si="9"/>
        <v>T</v>
      </c>
      <c r="BJ28" s="188"/>
      <c r="BK28" s="188"/>
      <c r="BL28" s="188"/>
      <c r="BM28" s="188"/>
      <c r="BN28" s="188"/>
      <c r="BO28" s="141">
        <f t="shared" si="27"/>
        <v>44277</v>
      </c>
      <c r="BP28" s="34">
        <f t="shared" si="28"/>
        <v>2</v>
      </c>
      <c r="BQ28" s="35" t="str">
        <f t="shared" si="10"/>
        <v>S</v>
      </c>
      <c r="BR28" s="188"/>
      <c r="BS28" s="188"/>
      <c r="BT28" s="188"/>
      <c r="BU28" s="188"/>
      <c r="BV28" s="188"/>
      <c r="BW28" s="141">
        <f t="shared" si="29"/>
        <v>44399</v>
      </c>
      <c r="BX28" s="34">
        <f t="shared" si="30"/>
        <v>5</v>
      </c>
      <c r="BY28" s="35" t="str">
        <f t="shared" si="11"/>
        <v>Q</v>
      </c>
      <c r="BZ28" s="188"/>
      <c r="CA28" s="188"/>
      <c r="CB28" s="188"/>
      <c r="CC28" s="188"/>
      <c r="CD28" s="188"/>
      <c r="CE28" s="141">
        <f t="shared" si="31"/>
        <v>44522</v>
      </c>
      <c r="CF28" s="34">
        <f t="shared" si="32"/>
        <v>2</v>
      </c>
      <c r="CG28" s="35" t="str">
        <f t="shared" si="12"/>
        <v>S</v>
      </c>
      <c r="CH28" s="188"/>
      <c r="CI28" s="188"/>
      <c r="CJ28" s="188"/>
      <c r="CK28" s="188"/>
      <c r="CL28" s="188"/>
      <c r="CM28" s="141">
        <f t="shared" si="33"/>
        <v>44552</v>
      </c>
      <c r="CN28" s="34">
        <f t="shared" si="34"/>
        <v>4</v>
      </c>
      <c r="CO28" s="80" t="s">
        <v>109</v>
      </c>
    </row>
    <row r="29" spans="2:95" s="80" customFormat="1" ht="20.25" customHeight="1" thickBot="1" x14ac:dyDescent="0.25">
      <c r="B29" s="32">
        <v>23</v>
      </c>
      <c r="C29" s="33">
        <f t="shared" si="13"/>
        <v>43974</v>
      </c>
      <c r="D29" s="142">
        <f t="shared" si="1"/>
        <v>7</v>
      </c>
      <c r="E29" s="146" t="str">
        <f t="shared" si="2"/>
        <v>S</v>
      </c>
      <c r="F29" s="188"/>
      <c r="G29" s="188"/>
      <c r="H29" s="188"/>
      <c r="I29" s="188"/>
      <c r="J29" s="188"/>
      <c r="K29" s="141">
        <f t="shared" si="14"/>
        <v>44005</v>
      </c>
      <c r="L29" s="34">
        <f t="shared" si="15"/>
        <v>3</v>
      </c>
      <c r="M29" s="35" t="str">
        <f t="shared" si="3"/>
        <v>T</v>
      </c>
      <c r="N29" s="187"/>
      <c r="O29" s="187"/>
      <c r="P29" s="187"/>
      <c r="Q29" s="187"/>
      <c r="R29" s="187"/>
      <c r="S29" s="141">
        <f t="shared" si="16"/>
        <v>44035</v>
      </c>
      <c r="T29" s="34">
        <f t="shared" si="17"/>
        <v>5</v>
      </c>
      <c r="U29" s="35" t="str">
        <f t="shared" si="4"/>
        <v>Q</v>
      </c>
      <c r="V29" s="187"/>
      <c r="W29" s="187"/>
      <c r="X29" s="187"/>
      <c r="Y29" s="187"/>
      <c r="Z29" s="187"/>
      <c r="AA29" s="141">
        <f t="shared" si="35"/>
        <v>44066</v>
      </c>
      <c r="AB29" s="34">
        <f t="shared" si="18"/>
        <v>1</v>
      </c>
      <c r="AC29" s="35" t="str">
        <f t="shared" si="5"/>
        <v>D</v>
      </c>
      <c r="AD29" s="187"/>
      <c r="AE29" s="187"/>
      <c r="AF29" s="187"/>
      <c r="AG29" s="187"/>
      <c r="AH29" s="188"/>
      <c r="AI29" s="141">
        <f t="shared" si="19"/>
        <v>44097</v>
      </c>
      <c r="AJ29" s="34">
        <f t="shared" si="20"/>
        <v>4</v>
      </c>
      <c r="AK29" s="35" t="str">
        <f t="shared" si="6"/>
        <v>Q</v>
      </c>
      <c r="AL29" s="188"/>
      <c r="AM29" s="188"/>
      <c r="AN29" s="188"/>
      <c r="AO29" s="188"/>
      <c r="AP29" s="188"/>
      <c r="AQ29" s="141">
        <f t="shared" si="21"/>
        <v>44127</v>
      </c>
      <c r="AR29" s="34">
        <f t="shared" si="22"/>
        <v>6</v>
      </c>
      <c r="AS29" s="35" t="str">
        <f t="shared" si="7"/>
        <v>S</v>
      </c>
      <c r="AT29" s="188"/>
      <c r="AU29" s="188"/>
      <c r="AV29" s="188"/>
      <c r="AW29" s="188"/>
      <c r="AX29" s="188"/>
      <c r="AY29" s="141">
        <f t="shared" si="23"/>
        <v>44158</v>
      </c>
      <c r="AZ29" s="34">
        <f t="shared" si="24"/>
        <v>2</v>
      </c>
      <c r="BA29" s="35" t="str">
        <f t="shared" si="8"/>
        <v>S</v>
      </c>
      <c r="BB29" s="188"/>
      <c r="BC29" s="188"/>
      <c r="BD29" s="188"/>
      <c r="BE29" s="188"/>
      <c r="BF29" s="188"/>
      <c r="BG29" s="141">
        <f t="shared" si="25"/>
        <v>44188</v>
      </c>
      <c r="BH29" s="34">
        <f t="shared" si="26"/>
        <v>4</v>
      </c>
      <c r="BI29" s="35" t="str">
        <f t="shared" si="9"/>
        <v>Q</v>
      </c>
      <c r="BJ29" s="188"/>
      <c r="BK29" s="188"/>
      <c r="BL29" s="188"/>
      <c r="BM29" s="188"/>
      <c r="BN29" s="188"/>
      <c r="BO29" s="141">
        <f t="shared" si="27"/>
        <v>44278</v>
      </c>
      <c r="BP29" s="34">
        <f t="shared" si="28"/>
        <v>3</v>
      </c>
      <c r="BQ29" s="35" t="str">
        <f t="shared" si="10"/>
        <v>T</v>
      </c>
      <c r="BR29" s="188"/>
      <c r="BS29" s="188"/>
      <c r="BT29" s="188"/>
      <c r="BU29" s="188"/>
      <c r="BV29" s="188"/>
      <c r="BW29" s="141">
        <f t="shared" si="29"/>
        <v>44400</v>
      </c>
      <c r="BX29" s="34">
        <f t="shared" si="30"/>
        <v>6</v>
      </c>
      <c r="BY29" s="35" t="str">
        <f t="shared" si="11"/>
        <v>S</v>
      </c>
      <c r="BZ29" s="188"/>
      <c r="CA29" s="188"/>
      <c r="CB29" s="188"/>
      <c r="CC29" s="188"/>
      <c r="CD29" s="188"/>
      <c r="CE29" s="141">
        <f t="shared" si="31"/>
        <v>44523</v>
      </c>
      <c r="CF29" s="34">
        <f t="shared" si="32"/>
        <v>3</v>
      </c>
      <c r="CG29" s="35" t="str">
        <f t="shared" si="12"/>
        <v>T</v>
      </c>
      <c r="CH29" s="188"/>
      <c r="CI29" s="188"/>
      <c r="CJ29" s="188"/>
      <c r="CK29" s="188"/>
      <c r="CL29" s="188"/>
      <c r="CM29" s="141">
        <f t="shared" si="33"/>
        <v>44553</v>
      </c>
      <c r="CN29" s="34">
        <f t="shared" si="34"/>
        <v>5</v>
      </c>
      <c r="CO29" s="80" t="s">
        <v>109</v>
      </c>
      <c r="CQ29" s="230"/>
    </row>
    <row r="30" spans="2:95" s="80" customFormat="1" ht="20.25" customHeight="1" thickBot="1" x14ac:dyDescent="0.25">
      <c r="B30" s="32">
        <v>24</v>
      </c>
      <c r="C30" s="33">
        <f t="shared" si="13"/>
        <v>43975</v>
      </c>
      <c r="D30" s="142">
        <f t="shared" si="1"/>
        <v>1</v>
      </c>
      <c r="E30" s="146" t="str">
        <f t="shared" si="2"/>
        <v>D</v>
      </c>
      <c r="F30" s="188"/>
      <c r="G30" s="188"/>
      <c r="I30" s="214"/>
      <c r="J30" s="188"/>
      <c r="K30" s="141">
        <f t="shared" si="14"/>
        <v>44006</v>
      </c>
      <c r="L30" s="34">
        <f t="shared" si="15"/>
        <v>4</v>
      </c>
      <c r="M30" s="35" t="str">
        <f t="shared" si="3"/>
        <v>Q</v>
      </c>
      <c r="N30" s="187"/>
      <c r="O30" s="187"/>
      <c r="P30" s="187"/>
      <c r="Q30" s="187"/>
      <c r="R30" s="187"/>
      <c r="S30" s="141">
        <f t="shared" si="16"/>
        <v>44036</v>
      </c>
      <c r="T30" s="34">
        <f t="shared" si="17"/>
        <v>6</v>
      </c>
      <c r="U30" s="35" t="str">
        <f t="shared" si="4"/>
        <v>S</v>
      </c>
      <c r="V30" s="187"/>
      <c r="W30" s="187"/>
      <c r="X30" s="187"/>
      <c r="Y30" s="187"/>
      <c r="Z30" s="187"/>
      <c r="AA30" s="141">
        <f t="shared" si="35"/>
        <v>44067</v>
      </c>
      <c r="AB30" s="34">
        <f t="shared" si="18"/>
        <v>2</v>
      </c>
      <c r="AC30" s="35" t="str">
        <f t="shared" si="5"/>
        <v>S</v>
      </c>
      <c r="AD30" s="187"/>
      <c r="AE30" s="187"/>
      <c r="AF30" s="187"/>
      <c r="AG30" s="187"/>
      <c r="AH30" s="188"/>
      <c r="AI30" s="141">
        <f t="shared" si="19"/>
        <v>44098</v>
      </c>
      <c r="AJ30" s="34">
        <f t="shared" si="20"/>
        <v>5</v>
      </c>
      <c r="AK30" s="35" t="str">
        <f t="shared" si="6"/>
        <v>Q</v>
      </c>
      <c r="AL30" s="188"/>
      <c r="AM30" s="188"/>
      <c r="AN30" s="188"/>
      <c r="AO30" s="188"/>
      <c r="AP30" s="188"/>
      <c r="AQ30" s="141">
        <f t="shared" si="21"/>
        <v>44128</v>
      </c>
      <c r="AR30" s="34">
        <f t="shared" si="22"/>
        <v>7</v>
      </c>
      <c r="AS30" s="35" t="str">
        <f t="shared" si="7"/>
        <v>S</v>
      </c>
      <c r="AT30" s="188"/>
      <c r="AU30" s="188"/>
      <c r="AV30" s="188"/>
      <c r="AW30" s="188"/>
      <c r="AX30" s="188"/>
      <c r="AY30" s="141">
        <f t="shared" si="23"/>
        <v>44159</v>
      </c>
      <c r="AZ30" s="34">
        <f t="shared" si="24"/>
        <v>3</v>
      </c>
      <c r="BA30" s="35" t="str">
        <f t="shared" si="8"/>
        <v>T</v>
      </c>
      <c r="BB30" s="188"/>
      <c r="BC30" s="188"/>
      <c r="BD30" s="188"/>
      <c r="BE30" s="188"/>
      <c r="BF30" s="188"/>
      <c r="BG30" s="141">
        <f t="shared" si="25"/>
        <v>44189</v>
      </c>
      <c r="BH30" s="34">
        <f t="shared" si="26"/>
        <v>5</v>
      </c>
      <c r="BI30" s="35" t="str">
        <f t="shared" si="9"/>
        <v>Q</v>
      </c>
      <c r="BJ30" s="188"/>
      <c r="BK30" s="188"/>
      <c r="BL30" s="188"/>
      <c r="BM30" s="188"/>
      <c r="BN30" s="188"/>
      <c r="BO30" s="141">
        <f t="shared" si="27"/>
        <v>44279</v>
      </c>
      <c r="BP30" s="34">
        <f t="shared" si="28"/>
        <v>4</v>
      </c>
      <c r="BQ30" s="35" t="str">
        <f t="shared" si="10"/>
        <v>Q</v>
      </c>
      <c r="BR30" s="188"/>
      <c r="BS30" s="188"/>
      <c r="BT30" s="188"/>
      <c r="BU30" s="188"/>
      <c r="BV30" s="188"/>
      <c r="BW30" s="141">
        <f t="shared" si="29"/>
        <v>44401</v>
      </c>
      <c r="BX30" s="34">
        <f t="shared" si="30"/>
        <v>7</v>
      </c>
      <c r="BY30" s="35" t="str">
        <f t="shared" si="11"/>
        <v>S</v>
      </c>
      <c r="BZ30" s="188"/>
      <c r="CA30" s="188"/>
      <c r="CB30" s="188"/>
      <c r="CC30" s="188"/>
      <c r="CD30" s="188"/>
      <c r="CE30" s="141">
        <f t="shared" si="31"/>
        <v>44524</v>
      </c>
      <c r="CF30" s="34">
        <f t="shared" si="32"/>
        <v>4</v>
      </c>
      <c r="CG30" s="35" t="str">
        <f t="shared" si="12"/>
        <v>Q</v>
      </c>
      <c r="CH30" s="188"/>
      <c r="CI30" s="188"/>
      <c r="CJ30" s="188"/>
      <c r="CK30" s="188"/>
      <c r="CL30" s="188"/>
      <c r="CM30" s="141">
        <f t="shared" si="33"/>
        <v>44554</v>
      </c>
      <c r="CN30" s="34">
        <f t="shared" si="34"/>
        <v>6</v>
      </c>
      <c r="CO30" s="80" t="s">
        <v>109</v>
      </c>
    </row>
    <row r="31" spans="2:95" s="80" customFormat="1" ht="15.75" customHeight="1" thickBot="1" x14ac:dyDescent="0.25">
      <c r="B31" s="32">
        <v>25</v>
      </c>
      <c r="C31" s="33">
        <f t="shared" si="13"/>
        <v>43976</v>
      </c>
      <c r="D31" s="142">
        <f t="shared" si="1"/>
        <v>2</v>
      </c>
      <c r="E31" s="146" t="str">
        <f t="shared" si="2"/>
        <v>S</v>
      </c>
      <c r="F31" s="188"/>
      <c r="G31" s="188"/>
      <c r="H31" s="188"/>
      <c r="I31" s="190"/>
      <c r="J31" s="188"/>
      <c r="K31" s="141">
        <f t="shared" si="14"/>
        <v>44007</v>
      </c>
      <c r="L31" s="34">
        <f t="shared" si="15"/>
        <v>5</v>
      </c>
      <c r="M31" s="35" t="str">
        <f t="shared" si="3"/>
        <v>Q</v>
      </c>
      <c r="N31" s="187"/>
      <c r="O31" s="187"/>
      <c r="P31" s="187"/>
      <c r="Q31" s="187"/>
      <c r="R31" s="187"/>
      <c r="S31" s="141">
        <f t="shared" si="16"/>
        <v>44037</v>
      </c>
      <c r="T31" s="34">
        <f t="shared" si="17"/>
        <v>7</v>
      </c>
      <c r="U31" s="35" t="str">
        <f t="shared" si="4"/>
        <v>S</v>
      </c>
      <c r="V31" s="187"/>
      <c r="W31" s="187"/>
      <c r="X31" s="187"/>
      <c r="Y31" s="187"/>
      <c r="Z31" s="187"/>
      <c r="AA31" s="141">
        <f t="shared" si="35"/>
        <v>44068</v>
      </c>
      <c r="AB31" s="34">
        <f t="shared" si="18"/>
        <v>3</v>
      </c>
      <c r="AC31" s="35" t="str">
        <f t="shared" si="5"/>
        <v>T</v>
      </c>
      <c r="AD31" s="187"/>
      <c r="AE31" s="187"/>
      <c r="AF31" s="187"/>
      <c r="AG31" s="187"/>
      <c r="AH31" s="188"/>
      <c r="AI31" s="141">
        <f t="shared" si="19"/>
        <v>44099</v>
      </c>
      <c r="AJ31" s="34">
        <f t="shared" si="20"/>
        <v>6</v>
      </c>
      <c r="AK31" s="35" t="str">
        <f t="shared" si="6"/>
        <v>S</v>
      </c>
      <c r="AL31" s="188"/>
      <c r="AM31" s="188"/>
      <c r="AN31" s="188"/>
      <c r="AO31" s="190"/>
      <c r="AP31" s="188"/>
      <c r="AQ31" s="141">
        <f t="shared" si="21"/>
        <v>44129</v>
      </c>
      <c r="AR31" s="34">
        <f t="shared" si="22"/>
        <v>1</v>
      </c>
      <c r="AS31" s="35" t="str">
        <f t="shared" si="7"/>
        <v>D</v>
      </c>
      <c r="AT31" s="188"/>
      <c r="AU31" s="188"/>
      <c r="AV31" s="188"/>
      <c r="AW31" s="190"/>
      <c r="AX31" s="188"/>
      <c r="AY31" s="141">
        <f t="shared" si="23"/>
        <v>44160</v>
      </c>
      <c r="AZ31" s="34">
        <f t="shared" si="24"/>
        <v>4</v>
      </c>
      <c r="BA31" s="35" t="str">
        <f t="shared" si="8"/>
        <v>Q</v>
      </c>
      <c r="BB31" s="188"/>
      <c r="BC31" s="188"/>
      <c r="BD31" s="188"/>
      <c r="BE31" s="190"/>
      <c r="BF31" s="188"/>
      <c r="BG31" s="141">
        <f t="shared" si="25"/>
        <v>44190</v>
      </c>
      <c r="BH31" s="34">
        <f t="shared" si="26"/>
        <v>6</v>
      </c>
      <c r="BI31" s="35" t="str">
        <f t="shared" si="9"/>
        <v>S</v>
      </c>
      <c r="BJ31" s="188"/>
      <c r="BK31" s="188"/>
      <c r="BL31" s="188"/>
      <c r="BM31" s="190"/>
      <c r="BN31" s="188"/>
      <c r="BO31" s="141">
        <f t="shared" si="27"/>
        <v>44280</v>
      </c>
      <c r="BP31" s="34">
        <f t="shared" si="28"/>
        <v>5</v>
      </c>
      <c r="BQ31" s="35" t="str">
        <f t="shared" si="10"/>
        <v>Q</v>
      </c>
      <c r="BR31" s="188"/>
      <c r="BS31" s="188"/>
      <c r="BT31" s="188"/>
      <c r="BU31" s="190"/>
      <c r="BV31" s="188"/>
      <c r="BW31" s="141">
        <f t="shared" si="29"/>
        <v>44402</v>
      </c>
      <c r="BX31" s="34">
        <f t="shared" si="30"/>
        <v>1</v>
      </c>
      <c r="BY31" s="35" t="str">
        <f t="shared" si="11"/>
        <v>D</v>
      </c>
      <c r="BZ31" s="188"/>
      <c r="CA31" s="188"/>
      <c r="CB31" s="188"/>
      <c r="CC31" s="190"/>
      <c r="CD31" s="188"/>
      <c r="CE31" s="141">
        <f t="shared" si="31"/>
        <v>44525</v>
      </c>
      <c r="CF31" s="34">
        <f t="shared" si="32"/>
        <v>5</v>
      </c>
      <c r="CG31" s="35" t="str">
        <f t="shared" si="12"/>
        <v>Q</v>
      </c>
      <c r="CH31" s="188"/>
      <c r="CI31" s="188"/>
      <c r="CJ31" s="188"/>
      <c r="CK31" s="190"/>
      <c r="CL31" s="188"/>
      <c r="CM31" s="141">
        <f t="shared" si="33"/>
        <v>44555</v>
      </c>
      <c r="CN31" s="34">
        <f t="shared" si="34"/>
        <v>7</v>
      </c>
      <c r="CO31" s="80" t="s">
        <v>109</v>
      </c>
    </row>
    <row r="32" spans="2:95" s="80" customFormat="1" ht="20.25" customHeight="1" thickBot="1" x14ac:dyDescent="0.25">
      <c r="B32" s="32">
        <v>26</v>
      </c>
      <c r="C32" s="33">
        <f t="shared" si="13"/>
        <v>43977</v>
      </c>
      <c r="D32" s="142">
        <f t="shared" si="1"/>
        <v>3</v>
      </c>
      <c r="E32" s="146" t="str">
        <f t="shared" si="2"/>
        <v>T</v>
      </c>
      <c r="F32" s="188"/>
      <c r="G32" s="188"/>
      <c r="H32" s="187"/>
      <c r="I32" s="187"/>
      <c r="J32" s="188"/>
      <c r="K32" s="141">
        <f t="shared" si="14"/>
        <v>44008</v>
      </c>
      <c r="L32" s="34">
        <f t="shared" si="15"/>
        <v>6</v>
      </c>
      <c r="M32" s="35" t="str">
        <f t="shared" si="3"/>
        <v>S</v>
      </c>
      <c r="N32" s="187"/>
      <c r="O32" s="187"/>
      <c r="P32" s="187"/>
      <c r="Q32" s="187"/>
      <c r="R32" s="187"/>
      <c r="S32" s="141">
        <f t="shared" si="16"/>
        <v>44038</v>
      </c>
      <c r="T32" s="34">
        <f t="shared" si="17"/>
        <v>1</v>
      </c>
      <c r="U32" s="35" t="str">
        <f t="shared" si="4"/>
        <v>D</v>
      </c>
      <c r="V32" s="187"/>
      <c r="W32" s="187"/>
      <c r="X32" s="187"/>
      <c r="Y32" s="187"/>
      <c r="Z32" s="187"/>
      <c r="AA32" s="141">
        <f t="shared" si="35"/>
        <v>44069</v>
      </c>
      <c r="AB32" s="34">
        <f t="shared" si="18"/>
        <v>4</v>
      </c>
      <c r="AC32" s="35" t="str">
        <f t="shared" si="5"/>
        <v>Q</v>
      </c>
      <c r="AD32" s="187"/>
      <c r="AE32" s="187"/>
      <c r="AF32" s="187"/>
      <c r="AG32" s="187"/>
      <c r="AH32" s="188"/>
      <c r="AI32" s="141">
        <f t="shared" si="19"/>
        <v>44100</v>
      </c>
      <c r="AJ32" s="34">
        <f t="shared" si="20"/>
        <v>7</v>
      </c>
      <c r="AK32" s="35" t="str">
        <f t="shared" si="6"/>
        <v>S</v>
      </c>
      <c r="AL32" s="188"/>
      <c r="AM32" s="188"/>
      <c r="AN32" s="188"/>
      <c r="AO32" s="188"/>
      <c r="AP32" s="188"/>
      <c r="AQ32" s="141">
        <f t="shared" si="21"/>
        <v>44130</v>
      </c>
      <c r="AR32" s="34">
        <f t="shared" si="22"/>
        <v>2</v>
      </c>
      <c r="AS32" s="35" t="str">
        <f t="shared" si="7"/>
        <v>S</v>
      </c>
      <c r="AT32" s="188"/>
      <c r="AU32" s="188"/>
      <c r="AV32" s="188"/>
      <c r="AW32" s="188"/>
      <c r="AX32" s="188"/>
      <c r="AY32" s="141">
        <f t="shared" si="23"/>
        <v>44161</v>
      </c>
      <c r="AZ32" s="34">
        <f t="shared" si="24"/>
        <v>5</v>
      </c>
      <c r="BA32" s="35" t="str">
        <f t="shared" si="8"/>
        <v>Q</v>
      </c>
      <c r="BB32" s="188"/>
      <c r="BC32" s="188"/>
      <c r="BD32" s="188"/>
      <c r="BE32" s="188"/>
      <c r="BF32" s="188"/>
      <c r="BG32" s="141">
        <f t="shared" si="25"/>
        <v>44191</v>
      </c>
      <c r="BH32" s="34">
        <f t="shared" si="26"/>
        <v>7</v>
      </c>
      <c r="BI32" s="35" t="str">
        <f t="shared" si="9"/>
        <v>S</v>
      </c>
      <c r="BJ32" s="188"/>
      <c r="BK32" s="188"/>
      <c r="BL32" s="188"/>
      <c r="BM32" s="188"/>
      <c r="BN32" s="188"/>
      <c r="BO32" s="141">
        <f t="shared" si="27"/>
        <v>44281</v>
      </c>
      <c r="BP32" s="34">
        <f t="shared" si="28"/>
        <v>6</v>
      </c>
      <c r="BQ32" s="35" t="str">
        <f t="shared" si="10"/>
        <v>S</v>
      </c>
      <c r="BR32" s="188"/>
      <c r="BS32" s="188"/>
      <c r="BT32" s="188"/>
      <c r="BU32" s="188"/>
      <c r="BV32" s="188"/>
      <c r="BW32" s="141">
        <f t="shared" si="29"/>
        <v>44403</v>
      </c>
      <c r="BX32" s="34">
        <f t="shared" si="30"/>
        <v>2</v>
      </c>
      <c r="BY32" s="35" t="str">
        <f t="shared" si="11"/>
        <v>S</v>
      </c>
      <c r="BZ32" s="188"/>
      <c r="CA32" s="188"/>
      <c r="CB32" s="188"/>
      <c r="CC32" s="188"/>
      <c r="CD32" s="188"/>
      <c r="CE32" s="141">
        <f t="shared" si="31"/>
        <v>44526</v>
      </c>
      <c r="CF32" s="34">
        <f t="shared" si="32"/>
        <v>6</v>
      </c>
      <c r="CG32" s="35" t="str">
        <f t="shared" si="12"/>
        <v>S</v>
      </c>
      <c r="CH32" s="188"/>
      <c r="CI32" s="188"/>
      <c r="CJ32" s="188"/>
      <c r="CK32" s="188"/>
      <c r="CL32" s="188"/>
      <c r="CM32" s="141">
        <f t="shared" si="33"/>
        <v>44556</v>
      </c>
      <c r="CN32" s="34">
        <f t="shared" si="34"/>
        <v>1</v>
      </c>
      <c r="CO32" s="80" t="s">
        <v>109</v>
      </c>
    </row>
    <row r="33" spans="2:93" s="80" customFormat="1" ht="20.25" customHeight="1" thickBot="1" x14ac:dyDescent="0.25">
      <c r="B33" s="32">
        <v>27</v>
      </c>
      <c r="C33" s="33">
        <f t="shared" si="13"/>
        <v>43978</v>
      </c>
      <c r="D33" s="142">
        <f t="shared" si="1"/>
        <v>4</v>
      </c>
      <c r="E33" s="146" t="str">
        <f t="shared" si="2"/>
        <v>Q</v>
      </c>
      <c r="F33" s="190"/>
      <c r="G33" s="187"/>
      <c r="I33" s="187"/>
      <c r="J33" s="188"/>
      <c r="K33" s="141">
        <f t="shared" si="14"/>
        <v>44009</v>
      </c>
      <c r="L33" s="34">
        <f t="shared" si="15"/>
        <v>7</v>
      </c>
      <c r="M33" s="35" t="str">
        <f t="shared" si="3"/>
        <v>S</v>
      </c>
      <c r="N33" s="187"/>
      <c r="O33" s="187"/>
      <c r="P33" s="187"/>
      <c r="Q33" s="187"/>
      <c r="R33" s="187"/>
      <c r="S33" s="141">
        <f t="shared" si="16"/>
        <v>44039</v>
      </c>
      <c r="T33" s="34">
        <f t="shared" si="17"/>
        <v>2</v>
      </c>
      <c r="U33" s="35" t="str">
        <f t="shared" si="4"/>
        <v>S</v>
      </c>
      <c r="V33" s="187"/>
      <c r="W33" s="187"/>
      <c r="X33" s="187"/>
      <c r="Y33" s="187"/>
      <c r="Z33" s="187"/>
      <c r="AA33" s="141">
        <f t="shared" si="35"/>
        <v>44070</v>
      </c>
      <c r="AB33" s="34">
        <f t="shared" si="18"/>
        <v>5</v>
      </c>
      <c r="AC33" s="35" t="str">
        <f t="shared" si="5"/>
        <v>Q</v>
      </c>
      <c r="AD33" s="187"/>
      <c r="AE33" s="187"/>
      <c r="AF33" s="187"/>
      <c r="AG33" s="187"/>
      <c r="AH33" s="188"/>
      <c r="AI33" s="141">
        <f t="shared" si="19"/>
        <v>44101</v>
      </c>
      <c r="AJ33" s="34">
        <f t="shared" si="20"/>
        <v>1</v>
      </c>
      <c r="AK33" s="35" t="str">
        <f t="shared" si="6"/>
        <v>D</v>
      </c>
      <c r="AL33" s="188"/>
      <c r="AM33" s="188"/>
      <c r="AN33" s="188"/>
      <c r="AO33" s="188"/>
      <c r="AP33" s="188"/>
      <c r="AQ33" s="141">
        <f t="shared" si="21"/>
        <v>44131</v>
      </c>
      <c r="AR33" s="34">
        <f t="shared" si="22"/>
        <v>3</v>
      </c>
      <c r="AS33" s="35" t="str">
        <f t="shared" si="7"/>
        <v>T</v>
      </c>
      <c r="AT33" s="188"/>
      <c r="AU33" s="188"/>
      <c r="AV33" s="188"/>
      <c r="AW33" s="188"/>
      <c r="AX33" s="188"/>
      <c r="AY33" s="141">
        <f t="shared" si="23"/>
        <v>44162</v>
      </c>
      <c r="AZ33" s="34">
        <f t="shared" si="24"/>
        <v>6</v>
      </c>
      <c r="BA33" s="35" t="str">
        <f t="shared" si="8"/>
        <v>S</v>
      </c>
      <c r="BB33" s="188"/>
      <c r="BC33" s="188"/>
      <c r="BD33" s="188"/>
      <c r="BE33" s="188"/>
      <c r="BF33" s="188"/>
      <c r="BG33" s="141">
        <f t="shared" si="25"/>
        <v>44192</v>
      </c>
      <c r="BH33" s="34">
        <f t="shared" si="26"/>
        <v>1</v>
      </c>
      <c r="BI33" s="35" t="str">
        <f t="shared" si="9"/>
        <v>D</v>
      </c>
      <c r="BJ33" s="188"/>
      <c r="BK33" s="188"/>
      <c r="BL33" s="188"/>
      <c r="BM33" s="188"/>
      <c r="BN33" s="188"/>
      <c r="BO33" s="141">
        <f t="shared" si="27"/>
        <v>44282</v>
      </c>
      <c r="BP33" s="34">
        <f t="shared" si="28"/>
        <v>7</v>
      </c>
      <c r="BQ33" s="35" t="str">
        <f t="shared" si="10"/>
        <v>S</v>
      </c>
      <c r="BR33" s="188"/>
      <c r="BS33" s="188"/>
      <c r="BT33" s="188"/>
      <c r="BU33" s="188"/>
      <c r="BV33" s="188"/>
      <c r="BW33" s="141">
        <f t="shared" si="29"/>
        <v>44404</v>
      </c>
      <c r="BX33" s="34">
        <f t="shared" si="30"/>
        <v>3</v>
      </c>
      <c r="BY33" s="35" t="str">
        <f t="shared" si="11"/>
        <v>T</v>
      </c>
      <c r="BZ33" s="188"/>
      <c r="CA33" s="188"/>
      <c r="CB33" s="188"/>
      <c r="CC33" s="188"/>
      <c r="CD33" s="188"/>
      <c r="CE33" s="141">
        <f t="shared" si="31"/>
        <v>44527</v>
      </c>
      <c r="CF33" s="34">
        <f t="shared" si="32"/>
        <v>7</v>
      </c>
      <c r="CG33" s="35" t="str">
        <f t="shared" si="12"/>
        <v>S</v>
      </c>
      <c r="CH33" s="188"/>
      <c r="CI33" s="188"/>
      <c r="CJ33" s="188"/>
      <c r="CK33" s="188"/>
      <c r="CL33" s="188"/>
      <c r="CM33" s="141">
        <f t="shared" si="33"/>
        <v>44557</v>
      </c>
      <c r="CN33" s="34">
        <f t="shared" si="34"/>
        <v>2</v>
      </c>
      <c r="CO33" s="80" t="s">
        <v>109</v>
      </c>
    </row>
    <row r="34" spans="2:93" s="80" customFormat="1" ht="20.25" customHeight="1" thickBot="1" x14ac:dyDescent="0.25">
      <c r="B34" s="32">
        <v>28</v>
      </c>
      <c r="C34" s="33">
        <f t="shared" si="13"/>
        <v>43979</v>
      </c>
      <c r="D34" s="142">
        <f t="shared" si="1"/>
        <v>5</v>
      </c>
      <c r="E34" s="146" t="str">
        <f t="shared" si="2"/>
        <v>Q</v>
      </c>
      <c r="F34" s="188"/>
      <c r="G34" s="188"/>
      <c r="H34" s="190"/>
      <c r="I34" s="187"/>
      <c r="J34" s="188"/>
      <c r="K34" s="141">
        <f t="shared" si="14"/>
        <v>44010</v>
      </c>
      <c r="L34" s="34">
        <f t="shared" si="15"/>
        <v>1</v>
      </c>
      <c r="M34" s="35" t="str">
        <f t="shared" si="3"/>
        <v>D</v>
      </c>
      <c r="N34" s="188"/>
      <c r="O34" s="188"/>
      <c r="P34" s="188"/>
      <c r="Q34" s="188"/>
      <c r="R34" s="188"/>
      <c r="S34" s="141">
        <f t="shared" si="16"/>
        <v>44040</v>
      </c>
      <c r="T34" s="34">
        <f t="shared" si="17"/>
        <v>3</v>
      </c>
      <c r="U34" s="35" t="str">
        <f t="shared" si="4"/>
        <v>T</v>
      </c>
      <c r="V34" s="187"/>
      <c r="W34" s="187"/>
      <c r="X34" s="187"/>
      <c r="Y34" s="187"/>
      <c r="Z34" s="187"/>
      <c r="AA34" s="141">
        <f t="shared" si="35"/>
        <v>44071</v>
      </c>
      <c r="AB34" s="34">
        <f t="shared" si="18"/>
        <v>6</v>
      </c>
      <c r="AC34" s="35" t="str">
        <f t="shared" si="5"/>
        <v>S</v>
      </c>
      <c r="AD34" s="187"/>
      <c r="AE34" s="187"/>
      <c r="AF34" s="187"/>
      <c r="AG34" s="187"/>
      <c r="AH34" s="188"/>
      <c r="AI34" s="141">
        <f t="shared" si="19"/>
        <v>44102</v>
      </c>
      <c r="AJ34" s="34">
        <f t="shared" si="20"/>
        <v>2</v>
      </c>
      <c r="AK34" s="35" t="str">
        <f t="shared" si="6"/>
        <v>S</v>
      </c>
      <c r="AL34" s="188"/>
      <c r="AM34" s="188"/>
      <c r="AN34" s="188"/>
      <c r="AO34" s="188"/>
      <c r="AP34" s="188"/>
      <c r="AQ34" s="141">
        <f t="shared" si="21"/>
        <v>44132</v>
      </c>
      <c r="AR34" s="34">
        <f t="shared" si="22"/>
        <v>4</v>
      </c>
      <c r="AS34" s="35" t="str">
        <f t="shared" si="7"/>
        <v>Q</v>
      </c>
      <c r="AT34" s="188"/>
      <c r="AU34" s="188"/>
      <c r="AV34" s="188"/>
      <c r="AW34" s="188"/>
      <c r="AX34" s="188"/>
      <c r="AY34" s="141">
        <f t="shared" si="23"/>
        <v>44163</v>
      </c>
      <c r="AZ34" s="34">
        <f t="shared" si="24"/>
        <v>7</v>
      </c>
      <c r="BA34" s="35" t="str">
        <f t="shared" si="8"/>
        <v>S</v>
      </c>
      <c r="BB34" s="188"/>
      <c r="BC34" s="188"/>
      <c r="BD34" s="188"/>
      <c r="BE34" s="188"/>
      <c r="BF34" s="188"/>
      <c r="BG34" s="141">
        <f t="shared" si="25"/>
        <v>44193</v>
      </c>
      <c r="BH34" s="34">
        <f t="shared" si="26"/>
        <v>2</v>
      </c>
      <c r="BI34" s="35" t="str">
        <f t="shared" si="9"/>
        <v>S</v>
      </c>
      <c r="BJ34" s="188"/>
      <c r="BK34" s="188"/>
      <c r="BL34" s="188"/>
      <c r="BM34" s="188"/>
      <c r="BN34" s="188"/>
      <c r="BO34" s="141">
        <f t="shared" si="27"/>
        <v>44283</v>
      </c>
      <c r="BP34" s="34">
        <f t="shared" si="28"/>
        <v>1</v>
      </c>
      <c r="BQ34" s="35" t="str">
        <f t="shared" si="10"/>
        <v>D</v>
      </c>
      <c r="BR34" s="188"/>
      <c r="BS34" s="188"/>
      <c r="BT34" s="188"/>
      <c r="BU34" s="188"/>
      <c r="BV34" s="188"/>
      <c r="BW34" s="141">
        <f t="shared" si="29"/>
        <v>44405</v>
      </c>
      <c r="BX34" s="34">
        <f t="shared" si="30"/>
        <v>4</v>
      </c>
      <c r="BY34" s="35" t="str">
        <f t="shared" si="11"/>
        <v>Q</v>
      </c>
      <c r="BZ34" s="188"/>
      <c r="CA34" s="188"/>
      <c r="CB34" s="188"/>
      <c r="CC34" s="188"/>
      <c r="CD34" s="188"/>
      <c r="CE34" s="141">
        <f t="shared" si="31"/>
        <v>44528</v>
      </c>
      <c r="CF34" s="34">
        <f t="shared" si="32"/>
        <v>1</v>
      </c>
      <c r="CG34" s="35" t="str">
        <f t="shared" si="12"/>
        <v>D</v>
      </c>
      <c r="CH34" s="188"/>
      <c r="CI34" s="188"/>
      <c r="CJ34" s="188"/>
      <c r="CK34" s="188"/>
      <c r="CL34" s="188"/>
      <c r="CM34" s="141">
        <f t="shared" si="33"/>
        <v>44558</v>
      </c>
      <c r="CN34" s="34">
        <f t="shared" si="34"/>
        <v>3</v>
      </c>
      <c r="CO34" s="80" t="s">
        <v>109</v>
      </c>
    </row>
    <row r="35" spans="2:93" s="80" customFormat="1" ht="20.25" customHeight="1" x14ac:dyDescent="0.2">
      <c r="B35" s="32">
        <v>29</v>
      </c>
      <c r="C35" s="33">
        <f t="shared" si="13"/>
        <v>43980</v>
      </c>
      <c r="D35" s="142">
        <f t="shared" si="1"/>
        <v>6</v>
      </c>
      <c r="E35" s="146" t="str">
        <f t="shared" si="2"/>
        <v>S</v>
      </c>
      <c r="G35" s="187"/>
      <c r="H35" s="187"/>
      <c r="I35" s="187"/>
      <c r="J35" s="188"/>
      <c r="K35" s="141">
        <f t="shared" si="14"/>
        <v>44011</v>
      </c>
      <c r="L35" s="34">
        <f t="shared" si="15"/>
        <v>2</v>
      </c>
      <c r="M35" s="35" t="str">
        <f t="shared" si="3"/>
        <v>S</v>
      </c>
      <c r="N35" s="188"/>
      <c r="O35" s="188"/>
      <c r="P35" s="188"/>
      <c r="Q35" s="188"/>
      <c r="R35" s="188"/>
      <c r="S35" s="141">
        <f t="shared" si="16"/>
        <v>44041</v>
      </c>
      <c r="T35" s="34">
        <f t="shared" si="17"/>
        <v>4</v>
      </c>
      <c r="U35" s="35" t="str">
        <f t="shared" si="4"/>
        <v>Q</v>
      </c>
      <c r="V35" s="188"/>
      <c r="W35" s="188"/>
      <c r="X35" s="188"/>
      <c r="Y35" s="188"/>
      <c r="Z35" s="188"/>
      <c r="AA35" s="141">
        <f t="shared" si="35"/>
        <v>44072</v>
      </c>
      <c r="AB35" s="34">
        <f t="shared" si="18"/>
        <v>7</v>
      </c>
      <c r="AC35" s="35" t="str">
        <f t="shared" si="5"/>
        <v>S</v>
      </c>
      <c r="AD35" s="188"/>
      <c r="AE35" s="188"/>
      <c r="AF35" s="188"/>
      <c r="AG35" s="188"/>
      <c r="AH35" s="188"/>
      <c r="AI35" s="141">
        <f t="shared" si="19"/>
        <v>44103</v>
      </c>
      <c r="AJ35" s="34">
        <f t="shared" si="20"/>
        <v>3</v>
      </c>
      <c r="AK35" s="35" t="str">
        <f t="shared" si="6"/>
        <v>T</v>
      </c>
      <c r="AL35" s="188"/>
      <c r="AM35" s="188"/>
      <c r="AN35" s="188"/>
      <c r="AO35" s="188"/>
      <c r="AP35" s="188"/>
      <c r="AQ35" s="141">
        <f t="shared" si="21"/>
        <v>44133</v>
      </c>
      <c r="AR35" s="34">
        <f t="shared" si="22"/>
        <v>5</v>
      </c>
      <c r="AS35" s="35" t="str">
        <f t="shared" si="7"/>
        <v>Q</v>
      </c>
      <c r="AT35" s="188"/>
      <c r="AU35" s="188"/>
      <c r="AV35" s="188"/>
      <c r="AW35" s="188"/>
      <c r="AX35" s="188"/>
      <c r="AY35" s="141">
        <f t="shared" si="23"/>
        <v>44164</v>
      </c>
      <c r="AZ35" s="34">
        <f t="shared" si="24"/>
        <v>1</v>
      </c>
      <c r="BA35" s="35" t="str">
        <f t="shared" si="8"/>
        <v>D</v>
      </c>
      <c r="BB35" s="188"/>
      <c r="BC35" s="188"/>
      <c r="BD35" s="188"/>
      <c r="BE35" s="188"/>
      <c r="BF35" s="188"/>
      <c r="BG35" s="141">
        <f t="shared" si="25"/>
        <v>44194</v>
      </c>
      <c r="BH35" s="34">
        <f t="shared" si="26"/>
        <v>3</v>
      </c>
      <c r="BI35" s="35" t="str">
        <f t="shared" si="9"/>
        <v>T</v>
      </c>
      <c r="BJ35" s="188"/>
      <c r="BK35" s="188"/>
      <c r="BL35" s="188"/>
      <c r="BM35" s="188"/>
      <c r="BN35" s="188"/>
      <c r="BO35" s="141">
        <f t="shared" si="27"/>
        <v>44284</v>
      </c>
      <c r="BP35" s="34">
        <f t="shared" si="28"/>
        <v>2</v>
      </c>
      <c r="BQ35" s="35" t="str">
        <f t="shared" si="10"/>
        <v>S</v>
      </c>
      <c r="BR35" s="188"/>
      <c r="BS35" s="188"/>
      <c r="BT35" s="188"/>
      <c r="BU35" s="188"/>
      <c r="BV35" s="188"/>
      <c r="BW35" s="141">
        <f t="shared" si="29"/>
        <v>44406</v>
      </c>
      <c r="BX35" s="34">
        <f t="shared" si="30"/>
        <v>5</v>
      </c>
      <c r="BY35" s="35" t="str">
        <f t="shared" si="11"/>
        <v>Q</v>
      </c>
      <c r="BZ35" s="188"/>
      <c r="CA35" s="188"/>
      <c r="CB35" s="188"/>
      <c r="CC35" s="188"/>
      <c r="CD35" s="188"/>
      <c r="CE35" s="141">
        <f t="shared" si="31"/>
        <v>44529</v>
      </c>
      <c r="CF35" s="34">
        <f t="shared" si="32"/>
        <v>2</v>
      </c>
      <c r="CG35" s="35" t="str">
        <f t="shared" si="12"/>
        <v>S</v>
      </c>
      <c r="CH35" s="188"/>
      <c r="CI35" s="188"/>
      <c r="CJ35" s="188"/>
      <c r="CK35" s="188"/>
      <c r="CL35" s="188"/>
      <c r="CM35" s="141">
        <f t="shared" si="33"/>
        <v>44559</v>
      </c>
      <c r="CN35" s="34">
        <f t="shared" si="34"/>
        <v>4</v>
      </c>
      <c r="CO35" s="80" t="s">
        <v>109</v>
      </c>
    </row>
    <row r="36" spans="2:93" s="80" customFormat="1" ht="20.25" customHeight="1" x14ac:dyDescent="0.2">
      <c r="B36" s="32">
        <v>30</v>
      </c>
      <c r="C36" s="33">
        <f t="shared" si="13"/>
        <v>43981</v>
      </c>
      <c r="D36" s="142">
        <f t="shared" si="1"/>
        <v>7</v>
      </c>
      <c r="E36" s="146" t="str">
        <f t="shared" si="2"/>
        <v>S</v>
      </c>
      <c r="F36" s="188"/>
      <c r="G36" s="188"/>
      <c r="H36" s="188"/>
      <c r="I36" s="188"/>
      <c r="J36" s="188"/>
      <c r="K36" s="141">
        <f t="shared" si="14"/>
        <v>44012</v>
      </c>
      <c r="L36" s="34">
        <f t="shared" si="15"/>
        <v>3</v>
      </c>
      <c r="M36" s="35" t="str">
        <f t="shared" si="3"/>
        <v>T</v>
      </c>
      <c r="N36" s="188"/>
      <c r="O36" s="188"/>
      <c r="P36" s="188"/>
      <c r="Q36" s="188"/>
      <c r="R36" s="188"/>
      <c r="S36" s="141">
        <f t="shared" si="16"/>
        <v>44042</v>
      </c>
      <c r="T36" s="34">
        <f t="shared" si="17"/>
        <v>5</v>
      </c>
      <c r="U36" s="35" t="str">
        <f t="shared" si="4"/>
        <v>Q</v>
      </c>
      <c r="V36" s="188"/>
      <c r="W36" s="188"/>
      <c r="X36" s="188"/>
      <c r="Y36" s="188"/>
      <c r="Z36" s="188"/>
      <c r="AA36" s="141">
        <f t="shared" si="35"/>
        <v>44073</v>
      </c>
      <c r="AB36" s="34">
        <f t="shared" si="18"/>
        <v>1</v>
      </c>
      <c r="AC36" s="35" t="str">
        <f t="shared" si="5"/>
        <v>D</v>
      </c>
      <c r="AD36" s="188"/>
      <c r="AE36" s="188"/>
      <c r="AF36" s="188"/>
      <c r="AG36" s="188"/>
      <c r="AH36" s="188"/>
      <c r="AI36" s="141">
        <f t="shared" si="19"/>
        <v>44104</v>
      </c>
      <c r="AJ36" s="34">
        <f t="shared" si="20"/>
        <v>4</v>
      </c>
      <c r="AK36" s="35" t="str">
        <f t="shared" si="6"/>
        <v>Q</v>
      </c>
      <c r="AL36" s="188"/>
      <c r="AM36" s="188"/>
      <c r="AN36" s="188"/>
      <c r="AO36" s="188"/>
      <c r="AP36" s="188"/>
      <c r="AQ36" s="141">
        <f t="shared" si="21"/>
        <v>44134</v>
      </c>
      <c r="AR36" s="34">
        <f t="shared" si="22"/>
        <v>6</v>
      </c>
      <c r="AS36" s="35" t="str">
        <f t="shared" si="7"/>
        <v>S</v>
      </c>
      <c r="AT36" s="188"/>
      <c r="AU36" s="188"/>
      <c r="AV36" s="188"/>
      <c r="AW36" s="188"/>
      <c r="AX36" s="188"/>
      <c r="AY36" s="141">
        <f t="shared" si="23"/>
        <v>44165</v>
      </c>
      <c r="AZ36" s="34">
        <f t="shared" si="24"/>
        <v>2</v>
      </c>
      <c r="BA36" s="35" t="str">
        <f t="shared" si="8"/>
        <v>S</v>
      </c>
      <c r="BB36" s="188"/>
      <c r="BC36" s="188"/>
      <c r="BD36" s="188"/>
      <c r="BE36" s="188"/>
      <c r="BF36" s="188"/>
      <c r="BG36" s="141">
        <f t="shared" si="25"/>
        <v>44195</v>
      </c>
      <c r="BH36" s="34">
        <f t="shared" si="26"/>
        <v>4</v>
      </c>
      <c r="BI36" s="35" t="str">
        <f t="shared" si="9"/>
        <v>Q</v>
      </c>
      <c r="BJ36" s="188"/>
      <c r="BK36" s="188"/>
      <c r="BL36" s="188"/>
      <c r="BM36" s="188"/>
      <c r="BN36" s="188"/>
      <c r="BO36" s="141">
        <f t="shared" si="27"/>
        <v>44285</v>
      </c>
      <c r="BP36" s="34">
        <f t="shared" si="28"/>
        <v>3</v>
      </c>
      <c r="BQ36" s="35" t="str">
        <f t="shared" si="10"/>
        <v>T</v>
      </c>
      <c r="BR36" s="188"/>
      <c r="BS36" s="188"/>
      <c r="BT36" s="188"/>
      <c r="BU36" s="188"/>
      <c r="BV36" s="188"/>
      <c r="BW36" s="141">
        <f t="shared" si="29"/>
        <v>44407</v>
      </c>
      <c r="BX36" s="34">
        <f t="shared" si="30"/>
        <v>6</v>
      </c>
      <c r="BY36" s="35" t="str">
        <f t="shared" si="11"/>
        <v>S</v>
      </c>
      <c r="BZ36" s="188"/>
      <c r="CA36" s="188"/>
      <c r="CB36" s="188"/>
      <c r="CC36" s="188"/>
      <c r="CD36" s="188"/>
      <c r="CE36" s="141">
        <f t="shared" si="31"/>
        <v>44530</v>
      </c>
      <c r="CF36" s="34">
        <f t="shared" si="32"/>
        <v>3</v>
      </c>
      <c r="CG36" s="35" t="str">
        <f t="shared" si="12"/>
        <v>T</v>
      </c>
      <c r="CH36" s="188"/>
      <c r="CI36" s="188"/>
      <c r="CJ36" s="188"/>
      <c r="CK36" s="188"/>
      <c r="CL36" s="188"/>
      <c r="CM36" s="141">
        <f t="shared" si="33"/>
        <v>44560</v>
      </c>
      <c r="CN36" s="34">
        <f t="shared" si="34"/>
        <v>5</v>
      </c>
      <c r="CO36" s="80" t="s">
        <v>109</v>
      </c>
    </row>
    <row r="37" spans="2:93" s="80" customFormat="1" ht="19.899999999999999" customHeight="1" thickBot="1" x14ac:dyDescent="0.25">
      <c r="B37" s="36">
        <v>31</v>
      </c>
      <c r="C37" s="37">
        <f t="shared" si="13"/>
        <v>43982</v>
      </c>
      <c r="D37" s="143">
        <f t="shared" si="1"/>
        <v>1</v>
      </c>
      <c r="E37" s="147" t="str">
        <f t="shared" si="2"/>
        <v>D</v>
      </c>
      <c r="F37" s="188"/>
      <c r="G37" s="191"/>
      <c r="H37" s="191"/>
      <c r="I37" s="191"/>
      <c r="J37" s="191"/>
      <c r="K37" s="148" t="str">
        <f t="shared" si="14"/>
        <v/>
      </c>
      <c r="L37" s="19">
        <f>IF(AND(K37="",OR(L36=K35,L35=K34)),L36,IF(K37="",K36,WEEKDAY(K37)))</f>
        <v>44012</v>
      </c>
      <c r="M37" s="38" t="str">
        <f t="shared" si="3"/>
        <v/>
      </c>
      <c r="N37" s="191"/>
      <c r="O37" s="191"/>
      <c r="P37" s="191"/>
      <c r="Q37" s="191"/>
      <c r="R37" s="191"/>
      <c r="S37" s="148">
        <f t="shared" si="16"/>
        <v>44043</v>
      </c>
      <c r="T37" s="19">
        <f t="shared" si="17"/>
        <v>6</v>
      </c>
      <c r="U37" s="38" t="str">
        <f t="shared" si="4"/>
        <v>S</v>
      </c>
      <c r="V37" s="191"/>
      <c r="W37" s="191"/>
      <c r="X37" s="191"/>
      <c r="Y37" s="191"/>
      <c r="Z37" s="191"/>
      <c r="AA37" s="148">
        <f t="shared" si="35"/>
        <v>44074</v>
      </c>
      <c r="AB37" s="19">
        <f t="shared" si="18"/>
        <v>2</v>
      </c>
      <c r="AC37" s="38" t="str">
        <f t="shared" si="5"/>
        <v>S</v>
      </c>
      <c r="AD37" s="191"/>
      <c r="AE37" s="191"/>
      <c r="AF37" s="191"/>
      <c r="AG37" s="191"/>
      <c r="AH37" s="191"/>
      <c r="AI37" s="148" t="str">
        <f t="shared" si="19"/>
        <v/>
      </c>
      <c r="AJ37" s="19">
        <f t="shared" si="20"/>
        <v>44104</v>
      </c>
      <c r="AK37" s="38" t="str">
        <f t="shared" si="6"/>
        <v/>
      </c>
      <c r="AL37" s="191"/>
      <c r="AM37" s="191"/>
      <c r="AN37" s="191"/>
      <c r="AO37" s="191"/>
      <c r="AP37" s="191"/>
      <c r="AQ37" s="148">
        <f t="shared" si="21"/>
        <v>44135</v>
      </c>
      <c r="AR37" s="19">
        <f t="shared" si="22"/>
        <v>7</v>
      </c>
      <c r="AS37" s="38" t="str">
        <f t="shared" si="7"/>
        <v>S</v>
      </c>
      <c r="AT37" s="191"/>
      <c r="AU37" s="191"/>
      <c r="AV37" s="191"/>
      <c r="AW37" s="191"/>
      <c r="AX37" s="191"/>
      <c r="AY37" s="148" t="str">
        <f t="shared" si="23"/>
        <v/>
      </c>
      <c r="AZ37" s="19">
        <f t="shared" si="24"/>
        <v>44165</v>
      </c>
      <c r="BA37" s="38" t="str">
        <f t="shared" si="8"/>
        <v/>
      </c>
      <c r="BB37" s="191"/>
      <c r="BC37" s="191"/>
      <c r="BD37" s="191"/>
      <c r="BE37" s="191"/>
      <c r="BF37" s="191"/>
      <c r="BG37" s="148">
        <f t="shared" si="25"/>
        <v>44196</v>
      </c>
      <c r="BH37" s="19">
        <f t="shared" si="26"/>
        <v>5</v>
      </c>
      <c r="BI37" s="38" t="str">
        <f t="shared" si="9"/>
        <v>Q</v>
      </c>
      <c r="BJ37" s="191"/>
      <c r="BK37" s="191"/>
      <c r="BL37" s="191"/>
      <c r="BM37" s="191"/>
      <c r="BN37" s="191"/>
      <c r="BO37" s="148">
        <f t="shared" si="27"/>
        <v>44286</v>
      </c>
      <c r="BP37" s="19">
        <f t="shared" si="28"/>
        <v>4</v>
      </c>
      <c r="BQ37" s="38" t="str">
        <f t="shared" si="10"/>
        <v>Q</v>
      </c>
      <c r="BR37" s="191"/>
      <c r="BS37" s="191"/>
      <c r="BT37" s="191"/>
      <c r="BU37" s="191"/>
      <c r="BV37" s="191"/>
      <c r="BW37" s="148">
        <f t="shared" si="29"/>
        <v>44408</v>
      </c>
      <c r="BX37" s="19">
        <f t="shared" si="30"/>
        <v>7</v>
      </c>
      <c r="BY37" s="38" t="str">
        <f t="shared" si="11"/>
        <v>S</v>
      </c>
      <c r="BZ37" s="191"/>
      <c r="CA37" s="191"/>
      <c r="CB37" s="191"/>
      <c r="CC37" s="191"/>
      <c r="CD37" s="191"/>
      <c r="CE37" s="148" t="str">
        <f t="shared" si="31"/>
        <v/>
      </c>
      <c r="CF37" s="34">
        <f t="shared" si="32"/>
        <v>44530</v>
      </c>
      <c r="CG37" s="38" t="str">
        <f t="shared" si="12"/>
        <v/>
      </c>
      <c r="CH37" s="191"/>
      <c r="CI37" s="191"/>
      <c r="CJ37" s="191"/>
      <c r="CK37" s="191"/>
      <c r="CL37" s="188"/>
      <c r="CM37" s="148">
        <f t="shared" si="33"/>
        <v>44561</v>
      </c>
      <c r="CN37" s="19">
        <f t="shared" si="34"/>
        <v>6</v>
      </c>
      <c r="CO37" s="80" t="s">
        <v>109</v>
      </c>
    </row>
    <row r="38" spans="2:93" s="6" customFormat="1" ht="8.25" customHeight="1" thickBot="1" x14ac:dyDescent="0.25">
      <c r="B38" s="7"/>
      <c r="C38" s="7"/>
      <c r="D38" s="7"/>
      <c r="CM38" s="6" t="s">
        <v>109</v>
      </c>
      <c r="CN38" s="6" t="s">
        <v>109</v>
      </c>
      <c r="CO38" s="80" t="s">
        <v>109</v>
      </c>
    </row>
    <row r="39" spans="2:93" s="6" customFormat="1" ht="20.25" customHeight="1" thickBot="1" x14ac:dyDescent="0.25">
      <c r="B39" s="304" t="s">
        <v>32</v>
      </c>
      <c r="C39" s="305"/>
      <c r="D39" s="305"/>
      <c r="E39" s="305"/>
      <c r="F39" s="305"/>
      <c r="G39" s="305"/>
      <c r="H39" s="305"/>
      <c r="I39" s="305"/>
      <c r="J39" s="305"/>
      <c r="K39" s="305"/>
      <c r="L39" s="305"/>
      <c r="M39" s="305"/>
      <c r="N39" s="305"/>
      <c r="O39" s="305"/>
      <c r="P39" s="305"/>
      <c r="Q39" s="306"/>
      <c r="R39" s="307">
        <v>224</v>
      </c>
      <c r="S39" s="308"/>
      <c r="T39" s="308"/>
      <c r="U39" s="308"/>
      <c r="V39" s="308"/>
      <c r="W39" s="309"/>
      <c r="AC39" s="88" t="s">
        <v>43</v>
      </c>
      <c r="AD39" s="46"/>
      <c r="AL39" s="71"/>
      <c r="AM39" s="71"/>
      <c r="AN39" s="71"/>
      <c r="AO39" s="71"/>
      <c r="AP39" s="71"/>
      <c r="AQ39" s="71"/>
      <c r="AR39" s="71"/>
      <c r="AS39" s="71"/>
      <c r="AT39" s="71"/>
      <c r="AU39" s="71"/>
      <c r="AV39" s="71"/>
      <c r="AW39" s="71"/>
      <c r="AX39" s="71"/>
      <c r="AY39" s="71"/>
      <c r="AZ39" s="71"/>
      <c r="BA39" s="71"/>
      <c r="BB39" s="71"/>
      <c r="BC39" s="71"/>
      <c r="BD39" s="71"/>
      <c r="BE39" s="71"/>
      <c r="BF39" s="71"/>
      <c r="BG39" s="71"/>
      <c r="BH39" s="71"/>
      <c r="BI39" s="71"/>
      <c r="BJ39" s="71"/>
      <c r="BK39" s="71" t="s">
        <v>55</v>
      </c>
      <c r="BL39" s="71"/>
      <c r="BM39" s="71"/>
      <c r="BN39" s="71"/>
      <c r="BO39" s="71"/>
      <c r="BP39" s="71"/>
      <c r="BQ39" s="71"/>
      <c r="BR39" s="71"/>
      <c r="BS39" s="71"/>
      <c r="BT39" s="71"/>
      <c r="BU39" s="71"/>
      <c r="BV39" s="71"/>
      <c r="BW39" s="71"/>
      <c r="BX39" s="71"/>
      <c r="BY39" s="71"/>
      <c r="BZ39" s="71"/>
      <c r="CA39" s="71"/>
      <c r="CB39" s="71"/>
      <c r="CC39" s="71"/>
      <c r="CD39" s="71"/>
      <c r="CE39" s="71"/>
      <c r="CF39" s="71"/>
      <c r="CG39" s="71"/>
      <c r="CH39" s="71"/>
      <c r="CI39" s="71"/>
      <c r="CJ39" s="71"/>
      <c r="CK39" s="71"/>
      <c r="CL39" s="71"/>
      <c r="CM39" s="71"/>
      <c r="CN39" s="71"/>
    </row>
    <row r="40" spans="2:93" s="6" customFormat="1" ht="8.25" customHeight="1" thickBot="1" x14ac:dyDescent="0.25">
      <c r="B40" s="39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1"/>
      <c r="AL40" s="71"/>
      <c r="AM40" s="71"/>
      <c r="AN40" s="71"/>
      <c r="AO40" s="71"/>
      <c r="AP40" s="71"/>
      <c r="AQ40" s="71"/>
      <c r="AR40" s="71"/>
      <c r="AS40" s="71"/>
      <c r="AT40" s="71"/>
      <c r="AU40" s="71"/>
      <c r="AV40" s="71"/>
      <c r="AW40" s="71"/>
      <c r="AX40" s="71"/>
      <c r="AY40" s="71"/>
      <c r="AZ40" s="71"/>
      <c r="BA40" s="71"/>
      <c r="BB40" s="71"/>
      <c r="BC40" s="71"/>
      <c r="BD40" s="71"/>
      <c r="BE40" s="71"/>
      <c r="BF40" s="71"/>
      <c r="BG40" s="71"/>
      <c r="BH40" s="71"/>
      <c r="BI40" s="71"/>
      <c r="BJ40" s="71"/>
      <c r="BK40" s="71"/>
      <c r="BL40" s="71"/>
      <c r="BM40" s="71"/>
      <c r="BN40" s="71"/>
      <c r="BO40" s="71"/>
      <c r="BP40" s="71"/>
      <c r="BQ40" s="71"/>
      <c r="BR40" s="71"/>
      <c r="BS40" s="71"/>
      <c r="BT40" s="71"/>
      <c r="BU40" s="71"/>
      <c r="BV40" s="71"/>
      <c r="BW40" s="71"/>
      <c r="BX40" s="71"/>
      <c r="BY40" s="71"/>
      <c r="BZ40" s="71"/>
      <c r="CA40" s="71"/>
      <c r="CB40" s="71"/>
      <c r="CC40" s="71"/>
      <c r="CD40" s="71"/>
      <c r="CE40" s="71"/>
      <c r="CF40" s="71"/>
      <c r="CG40" s="71"/>
      <c r="CH40" s="71"/>
      <c r="CI40" s="71"/>
      <c r="CJ40" s="71"/>
      <c r="CK40" s="71"/>
      <c r="CL40" s="71"/>
      <c r="CM40" s="71"/>
      <c r="CN40" s="71"/>
    </row>
    <row r="41" spans="2:93" s="6" customFormat="1" ht="20.25" customHeight="1" thickBot="1" x14ac:dyDescent="0.25">
      <c r="B41" s="42" t="str">
        <f>F6</f>
        <v>GS</v>
      </c>
      <c r="C41" s="43"/>
      <c r="D41" s="43"/>
      <c r="E41" s="315">
        <f>SUM(F8:F37,N7:N37,V7:V37,AD7:AD37,AL7:AL37,AT7:AT37,BB7:BB37,BJ7:BJ37,BR7:BR37,BZ7:BZ37,CH7:CH37,B41)</f>
        <v>0</v>
      </c>
      <c r="F41" s="316"/>
      <c r="G41" s="43"/>
      <c r="H41" s="43"/>
      <c r="I41" s="43"/>
      <c r="J41" s="44" t="str">
        <f>H6</f>
        <v>JA</v>
      </c>
      <c r="K41" s="43"/>
      <c r="L41" s="43"/>
      <c r="M41" s="315">
        <f>SUM(H7:H37,P7:P37,X7:X37,AF7:AF37,AN7:AN37,AV7:AV37,BD7:BD37,BL7:BL37,BT7:BT37,CB7:CB37,CJ7:CJ37,J41)</f>
        <v>8</v>
      </c>
      <c r="N41" s="316"/>
      <c r="O41" s="43"/>
      <c r="P41" s="43"/>
      <c r="Q41" s="43"/>
      <c r="R41" s="44">
        <f>J6</f>
        <v>0</v>
      </c>
      <c r="S41" s="43"/>
      <c r="T41" s="43"/>
      <c r="U41" s="315">
        <f>SUM(J7:J37,R7:R37,Z7:Z37,AH7:AH37,AP7:AP37,AX7:AX37,BF7:BF37,BN7:BN37,BV7:BV37,CD7:CD37,CL7:CL37,R41)</f>
        <v>0</v>
      </c>
      <c r="V41" s="316"/>
      <c r="W41" s="45"/>
      <c r="AC41" s="126">
        <v>8</v>
      </c>
      <c r="AD41" s="106" t="s">
        <v>56</v>
      </c>
      <c r="AK41" s="127">
        <v>8</v>
      </c>
      <c r="AL41" s="106" t="s">
        <v>61</v>
      </c>
      <c r="AN41" s="107"/>
      <c r="AQ41" s="71"/>
      <c r="AR41" s="71"/>
      <c r="AS41" s="84">
        <v>8</v>
      </c>
      <c r="AT41" s="104" t="s">
        <v>45</v>
      </c>
      <c r="AV41" s="88"/>
      <c r="AW41" s="71"/>
      <c r="AX41" s="71"/>
      <c r="AY41" s="71"/>
      <c r="AZ41" s="71"/>
      <c r="BA41" s="86">
        <v>8</v>
      </c>
      <c r="BB41" s="6" t="s">
        <v>48</v>
      </c>
      <c r="BD41" s="88"/>
      <c r="BF41" s="71"/>
      <c r="BG41" s="71"/>
      <c r="BH41" s="71"/>
      <c r="BI41" s="89">
        <v>8</v>
      </c>
      <c r="BJ41" s="106" t="s">
        <v>52</v>
      </c>
      <c r="BM41" s="71"/>
      <c r="BN41" s="71"/>
      <c r="BO41" s="71"/>
      <c r="BP41" s="71"/>
      <c r="BQ41" s="85">
        <v>8</v>
      </c>
      <c r="BR41" s="106" t="s">
        <v>53</v>
      </c>
      <c r="BS41" s="46"/>
      <c r="BT41" s="71"/>
      <c r="BV41" s="157"/>
      <c r="BW41" s="157"/>
      <c r="BX41" s="157"/>
      <c r="BY41" s="175">
        <v>8</v>
      </c>
      <c r="BZ41" s="106" t="s">
        <v>60</v>
      </c>
      <c r="CA41" s="157"/>
      <c r="CB41" s="157"/>
      <c r="CC41" s="157"/>
      <c r="CD41" s="157"/>
      <c r="CE41" s="157"/>
      <c r="CF41" s="157"/>
      <c r="CG41" s="158"/>
      <c r="CH41" s="160"/>
    </row>
    <row r="42" spans="2:93" s="6" customFormat="1" ht="8.25" customHeight="1" thickBot="1" x14ac:dyDescent="0.25">
      <c r="B42" s="47"/>
      <c r="C42" s="43"/>
      <c r="D42" s="43"/>
      <c r="E42" s="48"/>
      <c r="F42" s="48"/>
      <c r="G42" s="43"/>
      <c r="H42" s="43"/>
      <c r="I42" s="43"/>
      <c r="J42" s="44"/>
      <c r="K42" s="43"/>
      <c r="L42" s="43"/>
      <c r="M42" s="48"/>
      <c r="N42" s="48"/>
      <c r="O42" s="43"/>
      <c r="P42" s="43"/>
      <c r="Q42" s="43"/>
      <c r="R42" s="44"/>
      <c r="S42" s="43"/>
      <c r="T42" s="43"/>
      <c r="U42" s="48"/>
      <c r="V42" s="48"/>
      <c r="W42" s="45"/>
      <c r="AC42" s="80"/>
      <c r="AD42" s="49"/>
      <c r="AK42" s="71"/>
      <c r="AL42" s="49"/>
      <c r="AN42" s="71"/>
      <c r="AQ42" s="71"/>
      <c r="AR42" s="71"/>
      <c r="AS42" s="71"/>
      <c r="AT42" s="49"/>
      <c r="AU42" s="71"/>
      <c r="AW42" s="71"/>
      <c r="AX42" s="71"/>
      <c r="AY42" s="71"/>
      <c r="AZ42" s="71"/>
      <c r="BA42" s="71"/>
      <c r="BB42" s="49"/>
      <c r="BF42" s="71"/>
      <c r="BG42" s="71"/>
      <c r="BH42" s="71"/>
      <c r="BJ42" s="49"/>
      <c r="BK42" s="71"/>
      <c r="BL42" s="71"/>
      <c r="BM42" s="71"/>
      <c r="BN42" s="71"/>
      <c r="BO42" s="71"/>
      <c r="BP42" s="71"/>
      <c r="BQ42" s="71"/>
      <c r="BR42" s="49"/>
      <c r="BS42" s="71"/>
      <c r="BT42" s="71"/>
      <c r="BU42" s="71"/>
      <c r="BV42" s="90"/>
      <c r="BW42" s="90"/>
      <c r="BX42" s="90"/>
      <c r="BY42" s="90"/>
      <c r="BZ42" s="161"/>
      <c r="CA42" s="90"/>
      <c r="CB42" s="90"/>
      <c r="CC42" s="90"/>
      <c r="CD42" s="90"/>
      <c r="CE42" s="90"/>
      <c r="CF42" s="90"/>
      <c r="CG42" s="90"/>
      <c r="CH42" s="161"/>
      <c r="CI42" s="71"/>
      <c r="CK42" s="71"/>
      <c r="CL42" s="71"/>
      <c r="CM42" s="71"/>
      <c r="CN42" s="71"/>
    </row>
    <row r="43" spans="2:93" s="6" customFormat="1" ht="20.25" customHeight="1" thickBot="1" x14ac:dyDescent="0.25">
      <c r="B43" s="42" t="str">
        <f>G6</f>
        <v>ML</v>
      </c>
      <c r="C43" s="43"/>
      <c r="D43" s="43"/>
      <c r="E43" s="315">
        <f>SUM(G7:G37,O8:O37,W7:W37,AE7:AE37,AM7:AM37,AU7:AU37,BC7:BC37,BK7:BK37,BS7:BS37,CA7:CA37,CI7:CI37,B43)</f>
        <v>0</v>
      </c>
      <c r="F43" s="316"/>
      <c r="G43" s="43"/>
      <c r="H43" s="43"/>
      <c r="I43" s="43"/>
      <c r="J43" s="44" t="str">
        <f>I6</f>
        <v>RA</v>
      </c>
      <c r="K43" s="43"/>
      <c r="L43" s="43"/>
      <c r="M43" s="315">
        <f>SUM(I7:I37,Q7:Q37,Y7:Y37,AG7:AG37,AO7:AO37,AW7:AW37,BE7:BE37,BM7:BM37,BU7:BU37,CC7:CC37,CK7:CK37,J43)</f>
        <v>0</v>
      </c>
      <c r="N43" s="316"/>
      <c r="O43" s="43"/>
      <c r="P43" s="43"/>
      <c r="Q43" s="43"/>
      <c r="R43" s="44" t="str">
        <f>IF(AND(B41="",B43="",J41="",J43="",R41=""),"","TOTAL")</f>
        <v>TOTAL</v>
      </c>
      <c r="S43" s="43"/>
      <c r="T43" s="43"/>
      <c r="U43" s="315">
        <f>IF(SUM(U41,M41,M43,E43,E41)=0,"",SUM(U41,M41,M43,E43,E41))</f>
        <v>8</v>
      </c>
      <c r="V43" s="316"/>
      <c r="W43" s="45"/>
      <c r="AC43" s="163">
        <v>8</v>
      </c>
      <c r="AD43" s="106" t="s">
        <v>59</v>
      </c>
      <c r="AK43" s="128">
        <v>8</v>
      </c>
      <c r="AL43" s="106" t="s">
        <v>51</v>
      </c>
      <c r="AN43" s="71"/>
      <c r="AQ43" s="71"/>
      <c r="AR43" s="71"/>
      <c r="AS43" s="164">
        <v>8</v>
      </c>
      <c r="AT43" s="106" t="s">
        <v>46</v>
      </c>
      <c r="AU43" s="71"/>
      <c r="AV43" s="88"/>
      <c r="AW43" s="71"/>
      <c r="AX43" s="71"/>
      <c r="AY43" s="71"/>
      <c r="AZ43" s="71"/>
      <c r="BA43" s="162">
        <v>8</v>
      </c>
      <c r="BB43" s="106" t="s">
        <v>49</v>
      </c>
      <c r="BD43" s="88"/>
      <c r="BF43" s="71"/>
      <c r="BG43" s="71"/>
      <c r="BH43" s="71"/>
      <c r="BI43" s="83">
        <v>8</v>
      </c>
      <c r="BJ43" s="106" t="s">
        <v>50</v>
      </c>
      <c r="BL43" s="88"/>
      <c r="BQ43" s="87">
        <v>8</v>
      </c>
      <c r="BR43" s="106" t="s">
        <v>54</v>
      </c>
      <c r="BU43" s="71"/>
      <c r="BV43" s="90"/>
      <c r="BW43" s="90"/>
      <c r="BX43" s="90"/>
      <c r="BY43" s="158"/>
      <c r="BZ43" s="160"/>
      <c r="CA43" s="159"/>
      <c r="CB43" s="90"/>
      <c r="CC43" s="90"/>
      <c r="CD43" s="90"/>
      <c r="CE43" s="90"/>
      <c r="CF43" s="90"/>
      <c r="CG43" s="157"/>
      <c r="CH43" s="159"/>
      <c r="CI43" s="71"/>
      <c r="CK43" s="46"/>
      <c r="CL43" s="71"/>
      <c r="CM43" s="71"/>
      <c r="CN43" s="71"/>
    </row>
    <row r="44" spans="2:93" s="6" customFormat="1" ht="8.25" customHeight="1" thickBot="1" x14ac:dyDescent="0.25">
      <c r="B44" s="50"/>
      <c r="C44" s="51"/>
      <c r="D44" s="52"/>
      <c r="E44" s="52"/>
      <c r="F44" s="53"/>
      <c r="G44" s="53"/>
      <c r="H44" s="53"/>
      <c r="I44" s="53"/>
      <c r="J44" s="53"/>
      <c r="K44" s="51"/>
      <c r="L44" s="52"/>
      <c r="M44" s="52"/>
      <c r="N44" s="53"/>
      <c r="O44" s="53"/>
      <c r="P44" s="53"/>
      <c r="Q44" s="53"/>
      <c r="R44" s="53"/>
      <c r="S44" s="51"/>
      <c r="T44" s="52"/>
      <c r="U44" s="52"/>
      <c r="V44" s="53"/>
      <c r="W44" s="54"/>
      <c r="AL44" s="71"/>
      <c r="AM44" s="71"/>
      <c r="AN44" s="71"/>
      <c r="AO44" s="71"/>
      <c r="AP44" s="71"/>
      <c r="AQ44" s="71"/>
      <c r="AR44" s="71"/>
      <c r="AS44" s="71"/>
      <c r="AT44" s="71"/>
      <c r="AU44" s="71"/>
      <c r="AV44" s="71"/>
      <c r="AW44" s="71"/>
      <c r="AX44" s="71"/>
      <c r="AY44" s="71"/>
      <c r="AZ44" s="71"/>
      <c r="BA44" s="71"/>
      <c r="BB44" s="71"/>
      <c r="BC44" s="71"/>
      <c r="BD44" s="71"/>
      <c r="BE44" s="71"/>
      <c r="BF44" s="71"/>
      <c r="BG44" s="71"/>
      <c r="BH44" s="71"/>
      <c r="BI44" s="71"/>
      <c r="BJ44" s="71"/>
      <c r="BK44" s="71"/>
      <c r="BL44" s="71"/>
      <c r="BM44" s="71"/>
      <c r="BN44" s="71"/>
      <c r="BO44" s="71"/>
      <c r="BP44" s="71"/>
      <c r="BQ44" s="71"/>
      <c r="BR44" s="71"/>
      <c r="BS44" s="71"/>
      <c r="BT44" s="71"/>
      <c r="BU44" s="71"/>
      <c r="BV44" s="71"/>
      <c r="BW44" s="71"/>
      <c r="BX44" s="71"/>
      <c r="BY44" s="71"/>
      <c r="BZ44" s="71"/>
      <c r="CA44" s="71"/>
      <c r="CB44" s="71"/>
      <c r="CC44" s="71"/>
      <c r="CD44" s="71"/>
      <c r="CE44" s="71"/>
      <c r="CF44" s="71"/>
      <c r="CG44" s="71"/>
      <c r="CH44" s="71"/>
      <c r="CI44" s="71"/>
      <c r="CJ44" s="71"/>
      <c r="CK44" s="71"/>
      <c r="CL44" s="71"/>
      <c r="CM44" s="71"/>
      <c r="CN44" s="71"/>
    </row>
    <row r="45" spans="2:93" s="6" customFormat="1" ht="8.25" customHeight="1" x14ac:dyDescent="0.2">
      <c r="AL45" s="71"/>
      <c r="AM45" s="71"/>
      <c r="AN45" s="71"/>
      <c r="AO45" s="71"/>
      <c r="AP45" s="71"/>
      <c r="AQ45" s="71"/>
      <c r="AR45" s="71"/>
      <c r="AS45" s="71"/>
      <c r="AT45" s="71"/>
      <c r="AU45" s="71"/>
      <c r="AV45" s="71"/>
      <c r="AW45" s="71"/>
      <c r="AX45" s="71"/>
      <c r="AY45" s="71"/>
      <c r="AZ45" s="71"/>
      <c r="BA45" s="71"/>
      <c r="BB45" s="71"/>
      <c r="BC45" s="71"/>
      <c r="BD45" s="71"/>
      <c r="BE45" s="71"/>
      <c r="BF45" s="71"/>
      <c r="BG45" s="71"/>
      <c r="BH45" s="71"/>
      <c r="BI45" s="71"/>
      <c r="BJ45" s="71"/>
      <c r="BK45" s="71"/>
      <c r="BL45" s="71"/>
      <c r="BM45" s="71"/>
      <c r="BN45" s="71"/>
      <c r="BO45" s="71"/>
      <c r="BP45" s="71"/>
      <c r="BQ45" s="71"/>
      <c r="BR45" s="71"/>
      <c r="BS45" s="71"/>
      <c r="BT45" s="71"/>
      <c r="BU45" s="71"/>
      <c r="BV45" s="71"/>
      <c r="BW45" s="71"/>
      <c r="BX45" s="71"/>
      <c r="BY45" s="71"/>
      <c r="BZ45" s="71"/>
      <c r="CA45" s="71"/>
      <c r="CB45" s="71"/>
      <c r="CC45" s="71"/>
      <c r="CD45" s="71"/>
      <c r="CE45" s="71"/>
      <c r="CF45" s="71"/>
      <c r="CG45" s="71"/>
      <c r="CH45" s="71"/>
      <c r="CI45" s="71"/>
      <c r="CJ45" s="71"/>
      <c r="CK45" s="71"/>
      <c r="CL45" s="71"/>
      <c r="CM45" s="71"/>
      <c r="CN45" s="71"/>
    </row>
    <row r="46" spans="2:93" s="6" customFormat="1" ht="21" customHeight="1" x14ac:dyDescent="0.2"/>
    <row r="47" spans="2:93" s="6" customFormat="1" ht="21" customHeight="1" x14ac:dyDescent="0.2">
      <c r="E47" s="6">
        <f>E43/8</f>
        <v>0</v>
      </c>
      <c r="Q47" s="156"/>
      <c r="R47" s="155" t="s">
        <v>57</v>
      </c>
      <c r="S47" s="156"/>
      <c r="T47" s="156"/>
      <c r="U47" s="170">
        <f>U43/8</f>
        <v>1</v>
      </c>
      <c r="AH47" s="6">
        <f>119/8</f>
        <v>14.875</v>
      </c>
      <c r="AO47" s="196">
        <v>8</v>
      </c>
    </row>
    <row r="48" spans="2:93" s="6" customFormat="1" ht="21" hidden="1" customHeight="1" x14ac:dyDescent="0.2"/>
    <row r="49" spans="2:10" s="6" customFormat="1" ht="21" hidden="1" customHeight="1" x14ac:dyDescent="0.2">
      <c r="I49" s="6">
        <v>1</v>
      </c>
      <c r="J49" s="6" t="s">
        <v>21</v>
      </c>
    </row>
    <row r="50" spans="2:10" s="6" customFormat="1" ht="21" hidden="1" customHeight="1" x14ac:dyDescent="0.2">
      <c r="I50" s="6">
        <v>2</v>
      </c>
      <c r="J50" s="6" t="s">
        <v>18</v>
      </c>
    </row>
    <row r="51" spans="2:10" s="6" customFormat="1" ht="21" hidden="1" customHeight="1" x14ac:dyDescent="0.2">
      <c r="I51" s="6">
        <v>3</v>
      </c>
      <c r="J51" s="6" t="s">
        <v>19</v>
      </c>
    </row>
    <row r="52" spans="2:10" s="6" customFormat="1" ht="21" hidden="1" customHeight="1" x14ac:dyDescent="0.2">
      <c r="I52" s="6">
        <v>4</v>
      </c>
      <c r="J52" s="6" t="s">
        <v>20</v>
      </c>
    </row>
    <row r="53" spans="2:10" s="6" customFormat="1" ht="21" hidden="1" customHeight="1" x14ac:dyDescent="0.2">
      <c r="I53" s="6">
        <v>5</v>
      </c>
      <c r="J53" s="6" t="s">
        <v>20</v>
      </c>
    </row>
    <row r="54" spans="2:10" s="6" customFormat="1" ht="21" hidden="1" customHeight="1" x14ac:dyDescent="0.2">
      <c r="I54" s="6">
        <v>6</v>
      </c>
      <c r="J54" s="6" t="s">
        <v>18</v>
      </c>
    </row>
    <row r="55" spans="2:10" s="6" customFormat="1" ht="21" hidden="1" customHeight="1" x14ac:dyDescent="0.2">
      <c r="I55" s="6">
        <v>7</v>
      </c>
      <c r="J55" s="6" t="s">
        <v>18</v>
      </c>
    </row>
    <row r="56" spans="2:10" s="6" customFormat="1" ht="21" hidden="1" customHeight="1" x14ac:dyDescent="0.2"/>
    <row r="57" spans="2:10" s="6" customFormat="1" ht="21" hidden="1" customHeight="1" x14ac:dyDescent="0.2">
      <c r="C57" s="6" t="s">
        <v>38</v>
      </c>
      <c r="D57" s="6" t="e">
        <f>SUM(D59:D430)</f>
        <v>#REF!</v>
      </c>
    </row>
    <row r="58" spans="2:10" s="6" customFormat="1" ht="21" hidden="1" customHeight="1" x14ac:dyDescent="0.2">
      <c r="C58" s="72"/>
    </row>
    <row r="59" spans="2:10" s="6" customFormat="1" ht="21" hidden="1" customHeight="1" x14ac:dyDescent="0.2">
      <c r="B59" s="6">
        <v>1</v>
      </c>
      <c r="C59" s="72">
        <f t="shared" ref="C59:C89" si="36">C7</f>
        <v>43952</v>
      </c>
      <c r="D59" s="6">
        <f>IF(C59&lt;='Plano Diretor'!$AU$4,SUM(F7:J7),0)</f>
        <v>0</v>
      </c>
    </row>
    <row r="60" spans="2:10" s="6" customFormat="1" ht="21" hidden="1" customHeight="1" x14ac:dyDescent="0.2">
      <c r="B60" s="6">
        <v>2</v>
      </c>
      <c r="C60" s="72">
        <f t="shared" si="36"/>
        <v>43953</v>
      </c>
      <c r="D60" s="6">
        <f>IF(C60&lt;='Plano Diretor'!$AU$4,SUM(F8:J8),0)</f>
        <v>0</v>
      </c>
    </row>
    <row r="61" spans="2:10" s="6" customFormat="1" ht="21" hidden="1" customHeight="1" x14ac:dyDescent="0.2">
      <c r="B61" s="6">
        <v>3</v>
      </c>
      <c r="C61" s="72">
        <f t="shared" si="36"/>
        <v>43954</v>
      </c>
      <c r="D61" s="6">
        <f>IF(C61&lt;='Plano Diretor'!$AU$4,SUM(F9:J9),0)</f>
        <v>0</v>
      </c>
    </row>
    <row r="62" spans="2:10" s="6" customFormat="1" ht="21" hidden="1" customHeight="1" x14ac:dyDescent="0.2">
      <c r="B62" s="6">
        <v>4</v>
      </c>
      <c r="C62" s="72">
        <f t="shared" si="36"/>
        <v>43955</v>
      </c>
      <c r="D62" s="6">
        <f>IF(C62&lt;='Plano Diretor'!$AU$4,SUM(F10:J10),0)</f>
        <v>0</v>
      </c>
    </row>
    <row r="63" spans="2:10" s="6" customFormat="1" ht="21" hidden="1" customHeight="1" x14ac:dyDescent="0.2">
      <c r="B63" s="6">
        <v>5</v>
      </c>
      <c r="C63" s="72">
        <f t="shared" si="36"/>
        <v>43956</v>
      </c>
      <c r="D63" s="6">
        <f>IF(C63&lt;='Plano Diretor'!$AU$4,SUM(F11:J11),0)</f>
        <v>0</v>
      </c>
    </row>
    <row r="64" spans="2:10" s="6" customFormat="1" ht="21" hidden="1" customHeight="1" x14ac:dyDescent="0.2">
      <c r="B64" s="6">
        <v>6</v>
      </c>
      <c r="C64" s="72">
        <f t="shared" si="36"/>
        <v>43957</v>
      </c>
      <c r="D64" s="6">
        <f>IF(C64&lt;='Plano Diretor'!$AU$4,SUM(F12:J12),0)</f>
        <v>0</v>
      </c>
    </row>
    <row r="65" spans="2:4" s="6" customFormat="1" ht="21" hidden="1" customHeight="1" x14ac:dyDescent="0.2">
      <c r="B65" s="6">
        <v>7</v>
      </c>
      <c r="C65" s="72">
        <f t="shared" si="36"/>
        <v>43958</v>
      </c>
      <c r="D65" s="6">
        <f>IF(C65&lt;='Plano Diretor'!$AU$4,SUM(F13:J13),0)</f>
        <v>0</v>
      </c>
    </row>
    <row r="66" spans="2:4" s="6" customFormat="1" ht="21" hidden="1" customHeight="1" x14ac:dyDescent="0.2">
      <c r="B66" s="6">
        <v>8</v>
      </c>
      <c r="C66" s="72">
        <f t="shared" si="36"/>
        <v>43959</v>
      </c>
      <c r="D66" s="6">
        <f>IF(C66&lt;='Plano Diretor'!$AU$4,SUM(F14:J14),0)</f>
        <v>0</v>
      </c>
    </row>
    <row r="67" spans="2:4" s="6" customFormat="1" ht="21" hidden="1" customHeight="1" x14ac:dyDescent="0.2">
      <c r="B67" s="6">
        <v>9</v>
      </c>
      <c r="C67" s="72">
        <f t="shared" si="36"/>
        <v>43960</v>
      </c>
      <c r="D67" s="6">
        <f>IF(C67&lt;='Plano Diretor'!$AU$4,SUM(F15:J15),0)</f>
        <v>0</v>
      </c>
    </row>
    <row r="68" spans="2:4" s="6" customFormat="1" ht="21" hidden="1" customHeight="1" x14ac:dyDescent="0.2">
      <c r="B68" s="6">
        <v>10</v>
      </c>
      <c r="C68" s="72">
        <f t="shared" si="36"/>
        <v>43961</v>
      </c>
      <c r="D68" s="6">
        <f>IF(C68&lt;='Plano Diretor'!$AU$4,SUM(F16:J16),0)</f>
        <v>0</v>
      </c>
    </row>
    <row r="69" spans="2:4" s="6" customFormat="1" ht="21" hidden="1" customHeight="1" x14ac:dyDescent="0.2">
      <c r="B69" s="6">
        <v>11</v>
      </c>
      <c r="C69" s="72">
        <f t="shared" si="36"/>
        <v>43962</v>
      </c>
      <c r="D69" s="6">
        <f>IF(C69&lt;='Plano Diretor'!$AU$4,SUM(F17:J17),0)</f>
        <v>0</v>
      </c>
    </row>
    <row r="70" spans="2:4" s="6" customFormat="1" ht="21" hidden="1" customHeight="1" x14ac:dyDescent="0.2">
      <c r="B70" s="6">
        <v>12</v>
      </c>
      <c r="C70" s="72">
        <f t="shared" si="36"/>
        <v>43963</v>
      </c>
      <c r="D70" s="6">
        <f>IF(C70&lt;='Plano Diretor'!$AU$4,SUM(F18:J18),0)</f>
        <v>0</v>
      </c>
    </row>
    <row r="71" spans="2:4" s="6" customFormat="1" ht="21" hidden="1" customHeight="1" x14ac:dyDescent="0.2">
      <c r="B71" s="6">
        <v>13</v>
      </c>
      <c r="C71" s="72">
        <f t="shared" si="36"/>
        <v>43964</v>
      </c>
      <c r="D71" s="6">
        <f>IF(C71&lt;='Plano Diretor'!$AU$4,SUM(F19:J19),0)</f>
        <v>0</v>
      </c>
    </row>
    <row r="72" spans="2:4" s="6" customFormat="1" ht="21" hidden="1" customHeight="1" x14ac:dyDescent="0.2">
      <c r="B72" s="6">
        <v>14</v>
      </c>
      <c r="C72" s="72">
        <f t="shared" si="36"/>
        <v>43965</v>
      </c>
      <c r="D72" s="6">
        <f>IF(C72&lt;='Plano Diretor'!$AU$4,SUM(F20:J20),0)</f>
        <v>0</v>
      </c>
    </row>
    <row r="73" spans="2:4" s="6" customFormat="1" ht="21" hidden="1" customHeight="1" x14ac:dyDescent="0.2">
      <c r="B73" s="6">
        <v>15</v>
      </c>
      <c r="C73" s="72">
        <f t="shared" si="36"/>
        <v>43966</v>
      </c>
      <c r="D73" s="6">
        <f>IF(C73&lt;='Plano Diretor'!$AU$4,SUM(F21:J21),0)</f>
        <v>0</v>
      </c>
    </row>
    <row r="74" spans="2:4" s="6" customFormat="1" ht="21" hidden="1" customHeight="1" x14ac:dyDescent="0.2">
      <c r="B74" s="6">
        <v>16</v>
      </c>
      <c r="C74" s="72">
        <f t="shared" si="36"/>
        <v>43967</v>
      </c>
      <c r="D74" s="6">
        <f>IF(C74&lt;='Plano Diretor'!$AU$4,SUM(F22:J22),0)</f>
        <v>0</v>
      </c>
    </row>
    <row r="75" spans="2:4" s="6" customFormat="1" ht="21" hidden="1" customHeight="1" x14ac:dyDescent="0.2">
      <c r="B75" s="6">
        <v>17</v>
      </c>
      <c r="C75" s="72">
        <f t="shared" si="36"/>
        <v>43968</v>
      </c>
      <c r="D75" s="6">
        <f>IF(C75&lt;='Plano Diretor'!$AU$4,SUM(F23:J23),0)</f>
        <v>0</v>
      </c>
    </row>
    <row r="76" spans="2:4" s="6" customFormat="1" ht="21" hidden="1" customHeight="1" x14ac:dyDescent="0.2">
      <c r="B76" s="6">
        <v>18</v>
      </c>
      <c r="C76" s="72">
        <f t="shared" si="36"/>
        <v>43969</v>
      </c>
      <c r="D76" s="6">
        <f>IF(C76&lt;='Plano Diretor'!$AU$4,SUM(F24:J24),0)</f>
        <v>0</v>
      </c>
    </row>
    <row r="77" spans="2:4" s="6" customFormat="1" ht="21" hidden="1" customHeight="1" x14ac:dyDescent="0.2">
      <c r="B77" s="6">
        <v>19</v>
      </c>
      <c r="C77" s="72">
        <f t="shared" si="36"/>
        <v>43970</v>
      </c>
      <c r="D77" s="6">
        <f>IF(C77&lt;='Plano Diretor'!$AU$4,SUM(F25:I25),0)</f>
        <v>0</v>
      </c>
    </row>
    <row r="78" spans="2:4" s="6" customFormat="1" ht="21" hidden="1" customHeight="1" x14ac:dyDescent="0.2">
      <c r="B78" s="6">
        <v>20</v>
      </c>
      <c r="C78" s="72">
        <f t="shared" si="36"/>
        <v>43971</v>
      </c>
      <c r="D78" s="6">
        <f>IF(C78&lt;='Plano Diretor'!$AU$4,SUM(F26:J26),0)</f>
        <v>0</v>
      </c>
    </row>
    <row r="79" spans="2:4" s="6" customFormat="1" ht="21" hidden="1" customHeight="1" x14ac:dyDescent="0.2">
      <c r="B79" s="6">
        <v>21</v>
      </c>
      <c r="C79" s="72">
        <f t="shared" si="36"/>
        <v>43972</v>
      </c>
      <c r="D79" s="6">
        <f>IF(C79&lt;='Plano Diretor'!$AU$4,SUM(F27:J27),0)</f>
        <v>0</v>
      </c>
    </row>
    <row r="80" spans="2:4" s="6" customFormat="1" ht="21" hidden="1" customHeight="1" x14ac:dyDescent="0.2">
      <c r="B80" s="6">
        <v>22</v>
      </c>
      <c r="C80" s="72">
        <f t="shared" si="36"/>
        <v>43973</v>
      </c>
      <c r="D80" s="6">
        <f>IF(C80&lt;='Plano Diretor'!$AU$4,SUM(F28:J28),0)</f>
        <v>0</v>
      </c>
    </row>
    <row r="81" spans="2:4" s="6" customFormat="1" ht="21" hidden="1" customHeight="1" x14ac:dyDescent="0.2">
      <c r="B81" s="6">
        <v>23</v>
      </c>
      <c r="C81" s="72">
        <f t="shared" si="36"/>
        <v>43974</v>
      </c>
      <c r="D81" s="6">
        <f>IF(C81&lt;='Plano Diretor'!$AU$4,SUM(F29:J29),0)</f>
        <v>0</v>
      </c>
    </row>
    <row r="82" spans="2:4" s="6" customFormat="1" ht="21" hidden="1" customHeight="1" x14ac:dyDescent="0.2">
      <c r="B82" s="6">
        <v>24</v>
      </c>
      <c r="C82" s="72">
        <f t="shared" si="36"/>
        <v>43975</v>
      </c>
      <c r="D82" s="6">
        <f>IF(C82&lt;='Plano Diretor'!$AU$4,SUM(F30:J30),0)</f>
        <v>0</v>
      </c>
    </row>
    <row r="83" spans="2:4" s="6" customFormat="1" ht="21" hidden="1" customHeight="1" x14ac:dyDescent="0.2">
      <c r="B83" s="6">
        <v>25</v>
      </c>
      <c r="C83" s="72">
        <f t="shared" si="36"/>
        <v>43976</v>
      </c>
      <c r="D83" s="6">
        <f>IF(C83&lt;='Plano Diretor'!$AU$4,SUM(F31:J31),0)</f>
        <v>0</v>
      </c>
    </row>
    <row r="84" spans="2:4" s="6" customFormat="1" ht="21" hidden="1" customHeight="1" x14ac:dyDescent="0.2">
      <c r="B84" s="6">
        <v>26</v>
      </c>
      <c r="C84" s="72">
        <f t="shared" si="36"/>
        <v>43977</v>
      </c>
      <c r="D84" s="6">
        <f>IF(C84&lt;='Plano Diretor'!$AU$4,SUM(F32:J32),0)</f>
        <v>0</v>
      </c>
    </row>
    <row r="85" spans="2:4" s="6" customFormat="1" ht="21" hidden="1" customHeight="1" x14ac:dyDescent="0.2">
      <c r="B85" s="6">
        <v>27</v>
      </c>
      <c r="C85" s="72">
        <f t="shared" si="36"/>
        <v>43978</v>
      </c>
      <c r="D85" s="6">
        <f>IF(C85&lt;='Plano Diretor'!$AU$4,SUM(F33:J33),0)</f>
        <v>0</v>
      </c>
    </row>
    <row r="86" spans="2:4" s="6" customFormat="1" ht="21" hidden="1" customHeight="1" x14ac:dyDescent="0.2">
      <c r="B86" s="6">
        <v>28</v>
      </c>
      <c r="C86" s="72">
        <f t="shared" si="36"/>
        <v>43979</v>
      </c>
      <c r="D86" s="6">
        <f>IF(C86&lt;='Plano Diretor'!$AU$4,SUM(F34:J34),0)</f>
        <v>0</v>
      </c>
    </row>
    <row r="87" spans="2:4" s="6" customFormat="1" ht="21" hidden="1" customHeight="1" x14ac:dyDescent="0.2">
      <c r="B87" s="6">
        <v>29</v>
      </c>
      <c r="C87" s="72">
        <f t="shared" si="36"/>
        <v>43980</v>
      </c>
      <c r="D87" s="6">
        <f>IF(C87&lt;='Plano Diretor'!$AU$4,SUM(G35:J35),0)</f>
        <v>0</v>
      </c>
    </row>
    <row r="88" spans="2:4" s="6" customFormat="1" ht="21" hidden="1" customHeight="1" x14ac:dyDescent="0.2">
      <c r="B88" s="6">
        <v>30</v>
      </c>
      <c r="C88" s="72">
        <f t="shared" si="36"/>
        <v>43981</v>
      </c>
      <c r="D88" s="6">
        <f>IF(C88&lt;='Plano Diretor'!$AU$4,SUM(F36:J36),0)</f>
        <v>0</v>
      </c>
    </row>
    <row r="89" spans="2:4" s="6" customFormat="1" ht="21" hidden="1" customHeight="1" x14ac:dyDescent="0.2">
      <c r="B89" s="6">
        <v>31</v>
      </c>
      <c r="C89" s="72">
        <f t="shared" si="36"/>
        <v>43982</v>
      </c>
      <c r="D89" s="6">
        <f>IF(C89&lt;='Plano Diretor'!$AU$4,SUM(F37:J37),0)</f>
        <v>0</v>
      </c>
    </row>
    <row r="90" spans="2:4" s="6" customFormat="1" ht="21" hidden="1" customHeight="1" x14ac:dyDescent="0.2">
      <c r="B90" s="6">
        <v>1</v>
      </c>
      <c r="C90" s="72">
        <f t="shared" ref="C90:C120" si="37">K7</f>
        <v>43983</v>
      </c>
      <c r="D90" s="6">
        <f>IF(C90&lt;='Plano Diretor'!$AU$4,SUM(N7:R7),0)</f>
        <v>8</v>
      </c>
    </row>
    <row r="91" spans="2:4" s="6" customFormat="1" ht="21" hidden="1" customHeight="1" x14ac:dyDescent="0.2">
      <c r="B91" s="6">
        <v>2</v>
      </c>
      <c r="C91" s="72">
        <f t="shared" si="37"/>
        <v>43984</v>
      </c>
      <c r="D91" s="6">
        <f>IF(C91&lt;='Plano Diretor'!$AU$4,SUM(N8:R8),0)</f>
        <v>0</v>
      </c>
    </row>
    <row r="92" spans="2:4" s="6" customFormat="1" ht="21" hidden="1" customHeight="1" x14ac:dyDescent="0.2">
      <c r="B92" s="6">
        <v>3</v>
      </c>
      <c r="C92" s="72">
        <f t="shared" si="37"/>
        <v>43985</v>
      </c>
      <c r="D92" s="6">
        <f>IF(C92&lt;='Plano Diretor'!$AU$4,SUM(O9:R9),0)</f>
        <v>0</v>
      </c>
    </row>
    <row r="93" spans="2:4" s="6" customFormat="1" ht="21" hidden="1" customHeight="1" x14ac:dyDescent="0.2">
      <c r="B93" s="6">
        <v>4</v>
      </c>
      <c r="C93" s="72">
        <f t="shared" si="37"/>
        <v>43986</v>
      </c>
      <c r="D93" s="6">
        <f>IF(C93&lt;='Plano Diretor'!$AU$4,SUM(N10:R10),0)</f>
        <v>0</v>
      </c>
    </row>
    <row r="94" spans="2:4" s="6" customFormat="1" ht="21" hidden="1" customHeight="1" x14ac:dyDescent="0.2">
      <c r="B94" s="6">
        <v>5</v>
      </c>
      <c r="C94" s="72">
        <f t="shared" si="37"/>
        <v>43987</v>
      </c>
      <c r="D94" s="6">
        <f>IF(C94&lt;='Plano Diretor'!$AU$4,SUM(N11:R11),0)</f>
        <v>0</v>
      </c>
    </row>
    <row r="95" spans="2:4" s="6" customFormat="1" ht="21" hidden="1" customHeight="1" x14ac:dyDescent="0.2">
      <c r="B95" s="6">
        <v>6</v>
      </c>
      <c r="C95" s="72">
        <f t="shared" si="37"/>
        <v>43988</v>
      </c>
      <c r="D95" s="6">
        <f>IF(C95&lt;='Plano Diretor'!$AU$4,SUM(N12:R12),0)</f>
        <v>0</v>
      </c>
    </row>
    <row r="96" spans="2:4" s="6" customFormat="1" ht="21" hidden="1" customHeight="1" x14ac:dyDescent="0.2">
      <c r="B96" s="6">
        <v>7</v>
      </c>
      <c r="C96" s="72">
        <f t="shared" si="37"/>
        <v>43989</v>
      </c>
      <c r="D96" s="6">
        <f>IF(C96&lt;='Plano Diretor'!$AU$4,SUM(N13:R13),0)</f>
        <v>0</v>
      </c>
    </row>
    <row r="97" spans="2:4" s="6" customFormat="1" ht="21" hidden="1" customHeight="1" x14ac:dyDescent="0.2">
      <c r="B97" s="6">
        <v>8</v>
      </c>
      <c r="C97" s="72">
        <f t="shared" si="37"/>
        <v>43990</v>
      </c>
      <c r="D97" s="6">
        <f>IF(C97&lt;='Plano Diretor'!$AU$4,SUM(N14:R14),0)</f>
        <v>0</v>
      </c>
    </row>
    <row r="98" spans="2:4" s="6" customFormat="1" ht="21" hidden="1" customHeight="1" x14ac:dyDescent="0.2">
      <c r="B98" s="6">
        <v>9</v>
      </c>
      <c r="C98" s="72">
        <f t="shared" si="37"/>
        <v>43991</v>
      </c>
      <c r="D98" s="6">
        <f>IF(C98&lt;='Plano Diretor'!$AU$4,SUM(N15:R15),0)</f>
        <v>0</v>
      </c>
    </row>
    <row r="99" spans="2:4" s="6" customFormat="1" ht="21" hidden="1" customHeight="1" x14ac:dyDescent="0.2">
      <c r="B99" s="6">
        <v>10</v>
      </c>
      <c r="C99" s="72">
        <f t="shared" si="37"/>
        <v>43992</v>
      </c>
      <c r="D99" s="6">
        <f>IF(C99&lt;='Plano Diretor'!$AU$4,SUM(N16:R16),0)</f>
        <v>0</v>
      </c>
    </row>
    <row r="100" spans="2:4" s="6" customFormat="1" ht="21" hidden="1" customHeight="1" x14ac:dyDescent="0.2">
      <c r="B100" s="6">
        <v>11</v>
      </c>
      <c r="C100" s="72">
        <f t="shared" si="37"/>
        <v>43993</v>
      </c>
      <c r="D100" s="6">
        <f>IF(C100&lt;='Plano Diretor'!$AU$4,SUM(O17:R17),0)</f>
        <v>0</v>
      </c>
    </row>
    <row r="101" spans="2:4" s="6" customFormat="1" ht="21" hidden="1" customHeight="1" x14ac:dyDescent="0.2">
      <c r="B101" s="6">
        <v>12</v>
      </c>
      <c r="C101" s="72">
        <f t="shared" si="37"/>
        <v>43994</v>
      </c>
      <c r="D101" s="6">
        <f>IF(C101&lt;='Plano Diretor'!$AU$4,SUM(N18:Q18),0)</f>
        <v>0</v>
      </c>
    </row>
    <row r="102" spans="2:4" s="6" customFormat="1" ht="21" hidden="1" customHeight="1" x14ac:dyDescent="0.2">
      <c r="B102" s="6">
        <v>13</v>
      </c>
      <c r="C102" s="72">
        <f t="shared" si="37"/>
        <v>43995</v>
      </c>
      <c r="D102" s="6">
        <f>IF(C102&lt;='Plano Diretor'!$AU$4,SUM(N19:Q19),0)</f>
        <v>0</v>
      </c>
    </row>
    <row r="103" spans="2:4" s="6" customFormat="1" ht="21" hidden="1" customHeight="1" x14ac:dyDescent="0.2">
      <c r="B103" s="6">
        <v>14</v>
      </c>
      <c r="C103" s="72">
        <f t="shared" si="37"/>
        <v>43996</v>
      </c>
      <c r="D103" s="6">
        <f>IF(C103&lt;='Plano Diretor'!$AU$4,SUM(N20:Q20),0)</f>
        <v>0</v>
      </c>
    </row>
    <row r="104" spans="2:4" s="6" customFormat="1" ht="21" hidden="1" customHeight="1" x14ac:dyDescent="0.2">
      <c r="B104" s="6">
        <v>15</v>
      </c>
      <c r="C104" s="72">
        <f t="shared" si="37"/>
        <v>43997</v>
      </c>
      <c r="D104" s="6">
        <f>IF(C104&lt;='Plano Diretor'!$AU$4,SUM(N21:Q21),0)</f>
        <v>0</v>
      </c>
    </row>
    <row r="105" spans="2:4" s="6" customFormat="1" ht="21" hidden="1" customHeight="1" x14ac:dyDescent="0.2">
      <c r="B105" s="6">
        <v>16</v>
      </c>
      <c r="C105" s="72">
        <f t="shared" si="37"/>
        <v>43998</v>
      </c>
      <c r="D105" s="6">
        <f>IF(C105&lt;='Plano Diretor'!$AU$4,SUM(N22:Q22),0)</f>
        <v>0</v>
      </c>
    </row>
    <row r="106" spans="2:4" s="6" customFormat="1" ht="21" hidden="1" customHeight="1" x14ac:dyDescent="0.2">
      <c r="B106" s="6">
        <v>17</v>
      </c>
      <c r="C106" s="72">
        <f t="shared" si="37"/>
        <v>43999</v>
      </c>
      <c r="D106" s="6">
        <f>IF(C106&lt;='Plano Diretor'!$AU$4,SUM(N23:R23),0)</f>
        <v>0</v>
      </c>
    </row>
    <row r="107" spans="2:4" s="6" customFormat="1" ht="21" hidden="1" customHeight="1" x14ac:dyDescent="0.2">
      <c r="B107" s="6">
        <v>18</v>
      </c>
      <c r="C107" s="72">
        <f t="shared" si="37"/>
        <v>44000</v>
      </c>
      <c r="D107" s="6">
        <f>IF(C107&lt;='Plano Diretor'!$AU$4,SUM(N24:R24),0)</f>
        <v>0</v>
      </c>
    </row>
    <row r="108" spans="2:4" s="6" customFormat="1" ht="21" hidden="1" customHeight="1" x14ac:dyDescent="0.2">
      <c r="B108" s="6">
        <v>19</v>
      </c>
      <c r="C108" s="72">
        <f t="shared" si="37"/>
        <v>44001</v>
      </c>
      <c r="D108" s="6">
        <f>IF(C108&lt;='Plano Diretor'!$AU$4,SUM(N25:R25),0)</f>
        <v>0</v>
      </c>
    </row>
    <row r="109" spans="2:4" s="6" customFormat="1" ht="21" hidden="1" customHeight="1" x14ac:dyDescent="0.2">
      <c r="B109" s="6">
        <v>20</v>
      </c>
      <c r="C109" s="72">
        <f t="shared" si="37"/>
        <v>44002</v>
      </c>
      <c r="D109" s="6">
        <f>IF(C109&lt;='Plano Diretor'!$AU$4,SUM(N26:R26),0)</f>
        <v>0</v>
      </c>
    </row>
    <row r="110" spans="2:4" s="6" customFormat="1" ht="21" hidden="1" customHeight="1" x14ac:dyDescent="0.2">
      <c r="B110" s="6">
        <v>21</v>
      </c>
      <c r="C110" s="72">
        <f t="shared" si="37"/>
        <v>44003</v>
      </c>
      <c r="D110" s="6">
        <f>IF(C110&lt;='Plano Diretor'!$AU$4,SUM(N27:R27),0)</f>
        <v>0</v>
      </c>
    </row>
    <row r="111" spans="2:4" s="6" customFormat="1" ht="21" hidden="1" customHeight="1" x14ac:dyDescent="0.2">
      <c r="B111" s="6">
        <v>22</v>
      </c>
      <c r="C111" s="72">
        <f t="shared" si="37"/>
        <v>44004</v>
      </c>
      <c r="D111" s="6">
        <f>IF(C111&lt;='Plano Diretor'!$AU$4,SUM(N28:R28),0)</f>
        <v>0</v>
      </c>
    </row>
    <row r="112" spans="2:4" s="6" customFormat="1" ht="21" hidden="1" customHeight="1" x14ac:dyDescent="0.2">
      <c r="B112" s="6">
        <v>23</v>
      </c>
      <c r="C112" s="72">
        <f t="shared" si="37"/>
        <v>44005</v>
      </c>
      <c r="D112" s="6">
        <f>IF(C112&lt;='Plano Diretor'!$AU$4,SUM(N29:R29),0)</f>
        <v>0</v>
      </c>
    </row>
    <row r="113" spans="2:4" s="6" customFormat="1" ht="21" hidden="1" customHeight="1" x14ac:dyDescent="0.2">
      <c r="B113" s="6">
        <v>24</v>
      </c>
      <c r="C113" s="72">
        <f t="shared" si="37"/>
        <v>44006</v>
      </c>
      <c r="D113" s="6">
        <f>IF(C113&lt;='Plano Diretor'!$AU$4,SUM(N30:R30),0)</f>
        <v>0</v>
      </c>
    </row>
    <row r="114" spans="2:4" s="6" customFormat="1" ht="21" hidden="1" customHeight="1" x14ac:dyDescent="0.2">
      <c r="B114" s="6">
        <v>25</v>
      </c>
      <c r="C114" s="72">
        <f t="shared" si="37"/>
        <v>44007</v>
      </c>
      <c r="D114" s="6">
        <f>IF(C114&lt;='Plano Diretor'!$AU$4,SUM(N31:R31),0)</f>
        <v>0</v>
      </c>
    </row>
    <row r="115" spans="2:4" s="6" customFormat="1" ht="21" hidden="1" customHeight="1" x14ac:dyDescent="0.2">
      <c r="B115" s="6">
        <v>26</v>
      </c>
      <c r="C115" s="72">
        <f t="shared" si="37"/>
        <v>44008</v>
      </c>
      <c r="D115" s="6">
        <f>IF(C115&lt;='Plano Diretor'!$AU$4,SUM(N32:R32),0)</f>
        <v>0</v>
      </c>
    </row>
    <row r="116" spans="2:4" s="6" customFormat="1" ht="21" hidden="1" customHeight="1" x14ac:dyDescent="0.2">
      <c r="B116" s="6">
        <v>27</v>
      </c>
      <c r="C116" s="72">
        <f t="shared" si="37"/>
        <v>44009</v>
      </c>
      <c r="D116" s="6">
        <f>IF(C116&lt;='Plano Diretor'!$AU$4,SUM(N33:Q33),0)</f>
        <v>0</v>
      </c>
    </row>
    <row r="117" spans="2:4" s="6" customFormat="1" ht="21" hidden="1" customHeight="1" x14ac:dyDescent="0.2">
      <c r="B117" s="6">
        <v>28</v>
      </c>
      <c r="C117" s="72">
        <f t="shared" si="37"/>
        <v>44010</v>
      </c>
      <c r="D117" s="6">
        <f>IF(C117&lt;='Plano Diretor'!$AU$4,SUM(N34:Q34),0)</f>
        <v>0</v>
      </c>
    </row>
    <row r="118" spans="2:4" s="6" customFormat="1" ht="21" hidden="1" customHeight="1" x14ac:dyDescent="0.2">
      <c r="B118" s="6">
        <v>29</v>
      </c>
      <c r="C118" s="72">
        <f t="shared" si="37"/>
        <v>44011</v>
      </c>
      <c r="D118" s="6">
        <f>IF(C118&lt;='Plano Diretor'!$AU$4,SUM(N35:Q35),0)</f>
        <v>0</v>
      </c>
    </row>
    <row r="119" spans="2:4" s="6" customFormat="1" ht="21" hidden="1" customHeight="1" x14ac:dyDescent="0.2">
      <c r="B119" s="6">
        <v>30</v>
      </c>
      <c r="C119" s="72">
        <f t="shared" si="37"/>
        <v>44012</v>
      </c>
      <c r="D119" s="6">
        <f>IF(C119&lt;='Plano Diretor'!$AU$4,SUM(N36:R36),0)</f>
        <v>0</v>
      </c>
    </row>
    <row r="120" spans="2:4" s="6" customFormat="1" ht="21" hidden="1" customHeight="1" x14ac:dyDescent="0.2">
      <c r="B120" s="6">
        <v>31</v>
      </c>
      <c r="C120" s="72" t="str">
        <f t="shared" si="37"/>
        <v/>
      </c>
      <c r="D120" s="6">
        <f>IF(C120&lt;='Plano Diretor'!$AU$4,SUM(N37:R37),0)</f>
        <v>0</v>
      </c>
    </row>
    <row r="121" spans="2:4" s="6" customFormat="1" ht="21" hidden="1" customHeight="1" x14ac:dyDescent="0.2">
      <c r="B121" s="6">
        <v>1</v>
      </c>
      <c r="C121" s="72">
        <f t="shared" ref="C121:C151" si="38">S7</f>
        <v>44013</v>
      </c>
      <c r="D121" s="6">
        <f>IF(C121&lt;='Plano Diretor'!$AU$4,SUM(V7:Z7),0)</f>
        <v>0</v>
      </c>
    </row>
    <row r="122" spans="2:4" s="6" customFormat="1" ht="21" hidden="1" customHeight="1" x14ac:dyDescent="0.2">
      <c r="B122" s="6">
        <v>2</v>
      </c>
      <c r="C122" s="72">
        <f t="shared" si="38"/>
        <v>44014</v>
      </c>
      <c r="D122" s="6">
        <f>IF(C122&lt;='Plano Diretor'!$AU$4,SUM(V8:Z8),0)</f>
        <v>0</v>
      </c>
    </row>
    <row r="123" spans="2:4" s="6" customFormat="1" ht="21" hidden="1" customHeight="1" x14ac:dyDescent="0.2">
      <c r="B123" s="6">
        <v>3</v>
      </c>
      <c r="C123" s="72">
        <f t="shared" si="38"/>
        <v>44015</v>
      </c>
      <c r="D123" s="6">
        <f>IF(C123&lt;='Plano Diretor'!$AU$4,SUM(V9:Z9),0)</f>
        <v>0</v>
      </c>
    </row>
    <row r="124" spans="2:4" s="6" customFormat="1" ht="21" hidden="1" customHeight="1" x14ac:dyDescent="0.2">
      <c r="B124" s="6">
        <v>4</v>
      </c>
      <c r="C124" s="72">
        <f t="shared" si="38"/>
        <v>44016</v>
      </c>
      <c r="D124" s="6">
        <f>IF(C124&lt;='Plano Diretor'!$AU$4,SUM(V10:Z10),0)</f>
        <v>0</v>
      </c>
    </row>
    <row r="125" spans="2:4" s="6" customFormat="1" ht="21" hidden="1" customHeight="1" x14ac:dyDescent="0.2">
      <c r="B125" s="6">
        <v>5</v>
      </c>
      <c r="C125" s="72">
        <f t="shared" si="38"/>
        <v>44017</v>
      </c>
      <c r="D125" s="6">
        <f>IF(C125&lt;='Plano Diretor'!$AU$4,SUM(V11:Z11),0)</f>
        <v>0</v>
      </c>
    </row>
    <row r="126" spans="2:4" s="6" customFormat="1" ht="21" hidden="1" customHeight="1" x14ac:dyDescent="0.2">
      <c r="B126" s="6">
        <v>6</v>
      </c>
      <c r="C126" s="72">
        <f t="shared" si="38"/>
        <v>44018</v>
      </c>
      <c r="D126" s="6">
        <f>IF(C126&lt;='Plano Diretor'!$AU$4,SUM(V12:Z12),0)</f>
        <v>0</v>
      </c>
    </row>
    <row r="127" spans="2:4" s="6" customFormat="1" ht="21" hidden="1" customHeight="1" x14ac:dyDescent="0.2">
      <c r="B127" s="6">
        <v>7</v>
      </c>
      <c r="C127" s="72">
        <f t="shared" si="38"/>
        <v>44019</v>
      </c>
      <c r="D127" s="6">
        <f>IF(C127&lt;='Plano Diretor'!$AU$4,SUM(V13:Z13),0)</f>
        <v>0</v>
      </c>
    </row>
    <row r="128" spans="2:4" s="6" customFormat="1" ht="21" hidden="1" customHeight="1" x14ac:dyDescent="0.2">
      <c r="B128" s="6">
        <v>8</v>
      </c>
      <c r="C128" s="72">
        <f t="shared" si="38"/>
        <v>44020</v>
      </c>
      <c r="D128" s="6">
        <f>IF(C128&lt;='Plano Diretor'!$AU$4,SUM(V14:Z14),0)</f>
        <v>0</v>
      </c>
    </row>
    <row r="129" spans="2:4" s="6" customFormat="1" ht="21" hidden="1" customHeight="1" x14ac:dyDescent="0.2">
      <c r="B129" s="6">
        <v>9</v>
      </c>
      <c r="C129" s="72">
        <f t="shared" si="38"/>
        <v>44021</v>
      </c>
      <c r="D129" s="6">
        <f>IF(C129&lt;='Plano Diretor'!$AU$4,SUM(W15:Z15),0)</f>
        <v>0</v>
      </c>
    </row>
    <row r="130" spans="2:4" s="6" customFormat="1" ht="21" hidden="1" customHeight="1" x14ac:dyDescent="0.2">
      <c r="B130" s="6">
        <v>10</v>
      </c>
      <c r="C130" s="72">
        <f t="shared" si="38"/>
        <v>44022</v>
      </c>
      <c r="D130" s="6">
        <f>IF(C130&lt;='Plano Diretor'!$AU$4,SUM(W16:Z16),0)</f>
        <v>0</v>
      </c>
    </row>
    <row r="131" spans="2:4" s="6" customFormat="1" ht="21" hidden="1" customHeight="1" x14ac:dyDescent="0.2">
      <c r="B131" s="6">
        <v>11</v>
      </c>
      <c r="C131" s="72">
        <f t="shared" si="38"/>
        <v>44023</v>
      </c>
      <c r="D131" s="6">
        <f>IF(C131&lt;='Plano Diretor'!$AU$4,SUM(V17:Z17),0)</f>
        <v>0</v>
      </c>
    </row>
    <row r="132" spans="2:4" s="6" customFormat="1" ht="21" hidden="1" customHeight="1" x14ac:dyDescent="0.2">
      <c r="B132" s="6">
        <v>12</v>
      </c>
      <c r="C132" s="72">
        <f t="shared" si="38"/>
        <v>44024</v>
      </c>
      <c r="D132" s="6">
        <f>IF(C132&lt;='Plano Diretor'!$AU$4,SUM(V18:Y18),0)</f>
        <v>0</v>
      </c>
    </row>
    <row r="133" spans="2:4" s="6" customFormat="1" ht="21" hidden="1" customHeight="1" x14ac:dyDescent="0.2">
      <c r="B133" s="6">
        <v>13</v>
      </c>
      <c r="C133" s="72">
        <f t="shared" si="38"/>
        <v>44025</v>
      </c>
      <c r="D133" s="6">
        <f>IF(C133&lt;='Plano Diretor'!$AU$4,SUM(V19:Y19),0)</f>
        <v>0</v>
      </c>
    </row>
    <row r="134" spans="2:4" s="6" customFormat="1" ht="21" hidden="1" customHeight="1" x14ac:dyDescent="0.2">
      <c r="B134" s="6">
        <v>14</v>
      </c>
      <c r="C134" s="72">
        <f t="shared" si="38"/>
        <v>44026</v>
      </c>
      <c r="D134" s="6">
        <f>IF(C134&lt;='Plano Diretor'!$AU$4,SUM(V20:Y20),0)</f>
        <v>0</v>
      </c>
    </row>
    <row r="135" spans="2:4" s="6" customFormat="1" ht="21" hidden="1" customHeight="1" x14ac:dyDescent="0.2">
      <c r="B135" s="6">
        <v>15</v>
      </c>
      <c r="C135" s="72">
        <f t="shared" si="38"/>
        <v>44027</v>
      </c>
      <c r="D135" s="6">
        <f>IF(C135&lt;='Plano Diretor'!$AU$4,SUM(V21:Y21),0)</f>
        <v>0</v>
      </c>
    </row>
    <row r="136" spans="2:4" s="6" customFormat="1" ht="21" hidden="1" customHeight="1" x14ac:dyDescent="0.2">
      <c r="B136" s="6">
        <v>16</v>
      </c>
      <c r="C136" s="72">
        <f t="shared" si="38"/>
        <v>44028</v>
      </c>
      <c r="D136" s="6">
        <f>IF(C136&lt;='Plano Diretor'!$AU$4,SUM(V22:Y22),0)</f>
        <v>0</v>
      </c>
    </row>
    <row r="137" spans="2:4" s="6" customFormat="1" ht="21" hidden="1" customHeight="1" x14ac:dyDescent="0.2">
      <c r="B137" s="6">
        <v>17</v>
      </c>
      <c r="C137" s="72">
        <f t="shared" si="38"/>
        <v>44029</v>
      </c>
      <c r="D137" s="6">
        <f>IF(C137&lt;='Plano Diretor'!$AU$4,SUM(V23:Y23),0)</f>
        <v>0</v>
      </c>
    </row>
    <row r="138" spans="2:4" s="6" customFormat="1" ht="21" hidden="1" customHeight="1" x14ac:dyDescent="0.2">
      <c r="B138" s="6">
        <v>18</v>
      </c>
      <c r="C138" s="72">
        <f t="shared" si="38"/>
        <v>44030</v>
      </c>
      <c r="D138" s="6">
        <f>IF(C138&lt;='Plano Diretor'!$AU$4,SUM(V24:Y24),0)</f>
        <v>0</v>
      </c>
    </row>
    <row r="139" spans="2:4" s="6" customFormat="1" ht="21" hidden="1" customHeight="1" x14ac:dyDescent="0.2">
      <c r="B139" s="6">
        <v>19</v>
      </c>
      <c r="C139" s="72">
        <f t="shared" si="38"/>
        <v>44031</v>
      </c>
      <c r="D139" s="6">
        <f>IF(C139&lt;='Plano Diretor'!$AU$4,SUM(V25:Y25),0)</f>
        <v>0</v>
      </c>
    </row>
    <row r="140" spans="2:4" s="6" customFormat="1" ht="21" hidden="1" customHeight="1" x14ac:dyDescent="0.2">
      <c r="B140" s="6">
        <v>20</v>
      </c>
      <c r="C140" s="72">
        <f t="shared" si="38"/>
        <v>44032</v>
      </c>
      <c r="D140" s="6">
        <f>IF(C140&lt;='Plano Diretor'!$AU$4,SUM(V26:Y26),0)</f>
        <v>0</v>
      </c>
    </row>
    <row r="141" spans="2:4" s="6" customFormat="1" ht="21" hidden="1" customHeight="1" x14ac:dyDescent="0.2">
      <c r="B141" s="6">
        <v>21</v>
      </c>
      <c r="C141" s="72">
        <f t="shared" si="38"/>
        <v>44033</v>
      </c>
      <c r="D141" s="6">
        <f>IF(C141&lt;='Plano Diretor'!$AU$4,SUM(V27:Y27),0)</f>
        <v>0</v>
      </c>
    </row>
    <row r="142" spans="2:4" s="6" customFormat="1" ht="21" hidden="1" customHeight="1" x14ac:dyDescent="0.2">
      <c r="B142" s="6">
        <v>22</v>
      </c>
      <c r="C142" s="72">
        <f t="shared" si="38"/>
        <v>44034</v>
      </c>
      <c r="D142" s="6">
        <f>IF(C142&lt;='Plano Diretor'!$AU$4,SUM(V28:Y28),0)</f>
        <v>0</v>
      </c>
    </row>
    <row r="143" spans="2:4" s="6" customFormat="1" ht="21" hidden="1" customHeight="1" x14ac:dyDescent="0.2">
      <c r="B143" s="6">
        <v>23</v>
      </c>
      <c r="C143" s="72">
        <f t="shared" si="38"/>
        <v>44035</v>
      </c>
      <c r="D143" s="6">
        <f>IF(C143&lt;='Plano Diretor'!$AU$4,SUM(V29:Y29),0)</f>
        <v>0</v>
      </c>
    </row>
    <row r="144" spans="2:4" s="6" customFormat="1" ht="21" hidden="1" customHeight="1" x14ac:dyDescent="0.2">
      <c r="B144" s="6">
        <v>24</v>
      </c>
      <c r="C144" s="72">
        <f t="shared" si="38"/>
        <v>44036</v>
      </c>
      <c r="D144" s="6">
        <f>IF(C144&lt;='Plano Diretor'!$AU$4,SUM(V30:Z30),0)</f>
        <v>0</v>
      </c>
    </row>
    <row r="145" spans="2:4" s="6" customFormat="1" ht="21" hidden="1" customHeight="1" x14ac:dyDescent="0.2">
      <c r="B145" s="6">
        <v>25</v>
      </c>
      <c r="C145" s="72">
        <f t="shared" si="38"/>
        <v>44037</v>
      </c>
      <c r="D145" s="6">
        <f>IF(C145&lt;='Plano Diretor'!$AU$4,SUM(V31:Z31),0)</f>
        <v>0</v>
      </c>
    </row>
    <row r="146" spans="2:4" s="6" customFormat="1" ht="21" hidden="1" customHeight="1" x14ac:dyDescent="0.2">
      <c r="B146" s="6">
        <v>26</v>
      </c>
      <c r="C146" s="72">
        <f t="shared" si="38"/>
        <v>44038</v>
      </c>
      <c r="D146" s="6">
        <f>IF(C146&lt;='Plano Diretor'!$AU$4,SUM(V32:Z32),0)</f>
        <v>0</v>
      </c>
    </row>
    <row r="147" spans="2:4" s="6" customFormat="1" ht="21" hidden="1" customHeight="1" x14ac:dyDescent="0.2">
      <c r="B147" s="6">
        <v>27</v>
      </c>
      <c r="C147" s="72">
        <f t="shared" si="38"/>
        <v>44039</v>
      </c>
      <c r="D147" s="6">
        <f>IF(C147&lt;='Plano Diretor'!$AU$4,SUM(V33:Z33),0)</f>
        <v>0</v>
      </c>
    </row>
    <row r="148" spans="2:4" s="6" customFormat="1" ht="21" hidden="1" customHeight="1" x14ac:dyDescent="0.2">
      <c r="B148" s="6">
        <v>28</v>
      </c>
      <c r="C148" s="72">
        <f t="shared" si="38"/>
        <v>44040</v>
      </c>
      <c r="D148" s="6">
        <f>IF(C148&lt;='Plano Diretor'!$AU$4,SUM(V34:Z34),0)</f>
        <v>0</v>
      </c>
    </row>
    <row r="149" spans="2:4" s="6" customFormat="1" ht="21" hidden="1" customHeight="1" x14ac:dyDescent="0.2">
      <c r="B149" s="6">
        <v>29</v>
      </c>
      <c r="C149" s="72">
        <f t="shared" si="38"/>
        <v>44041</v>
      </c>
      <c r="D149" s="6">
        <f>IF(C149&lt;='Plano Diretor'!$AU$4,SUM(V35:Z35),0)</f>
        <v>0</v>
      </c>
    </row>
    <row r="150" spans="2:4" s="6" customFormat="1" ht="21" hidden="1" customHeight="1" x14ac:dyDescent="0.2">
      <c r="B150" s="6">
        <v>30</v>
      </c>
      <c r="C150" s="72">
        <f t="shared" si="38"/>
        <v>44042</v>
      </c>
      <c r="D150" s="6">
        <f>IF(C150&lt;='Plano Diretor'!$AU$4,SUM(V36:Z36),0)</f>
        <v>0</v>
      </c>
    </row>
    <row r="151" spans="2:4" s="6" customFormat="1" ht="21" hidden="1" customHeight="1" x14ac:dyDescent="0.2">
      <c r="B151" s="6">
        <v>31</v>
      </c>
      <c r="C151" s="72">
        <f t="shared" si="38"/>
        <v>44043</v>
      </c>
      <c r="D151" s="6">
        <f>IF(C151&lt;='Plano Diretor'!$AU$4,SUM(V37:Z37),0)</f>
        <v>0</v>
      </c>
    </row>
    <row r="152" spans="2:4" s="6" customFormat="1" ht="21" hidden="1" customHeight="1" x14ac:dyDescent="0.2">
      <c r="B152" s="6">
        <v>1</v>
      </c>
      <c r="C152" s="72">
        <f t="shared" ref="C152:C182" si="39">AA7</f>
        <v>44044</v>
      </c>
      <c r="D152" s="6" t="e">
        <f>IF(C152&lt;='Plano Diretor'!$AU$4,SUM(#REF!),0)</f>
        <v>#REF!</v>
      </c>
    </row>
    <row r="153" spans="2:4" s="6" customFormat="1" ht="21" hidden="1" customHeight="1" x14ac:dyDescent="0.2">
      <c r="B153" s="6">
        <v>2</v>
      </c>
      <c r="C153" s="72">
        <f t="shared" si="39"/>
        <v>44045</v>
      </c>
      <c r="D153" s="6">
        <f>IF(C153&lt;='Plano Diretor'!$AU$4,SUM(AD8:AH8),0)</f>
        <v>0</v>
      </c>
    </row>
    <row r="154" spans="2:4" s="6" customFormat="1" ht="21" hidden="1" customHeight="1" x14ac:dyDescent="0.2">
      <c r="B154" s="6">
        <v>3</v>
      </c>
      <c r="C154" s="72">
        <f t="shared" si="39"/>
        <v>44046</v>
      </c>
      <c r="D154" s="6">
        <f>IF(C154&lt;='Plano Diretor'!$AU$4,SUM(AD9:AH9),0)</f>
        <v>0</v>
      </c>
    </row>
    <row r="155" spans="2:4" s="6" customFormat="1" ht="21" hidden="1" customHeight="1" x14ac:dyDescent="0.2">
      <c r="B155" s="6">
        <v>4</v>
      </c>
      <c r="C155" s="72">
        <f t="shared" si="39"/>
        <v>44047</v>
      </c>
      <c r="D155" s="6">
        <f>IF(C155&lt;='Plano Diretor'!$AU$4,SUM(AD10:AH10),0)</f>
        <v>0</v>
      </c>
    </row>
    <row r="156" spans="2:4" s="6" customFormat="1" ht="21" hidden="1" customHeight="1" x14ac:dyDescent="0.2">
      <c r="B156" s="6">
        <v>5</v>
      </c>
      <c r="C156" s="72">
        <f t="shared" si="39"/>
        <v>44048</v>
      </c>
      <c r="D156" s="6">
        <f>IF(C156&lt;='Plano Diretor'!$AU$4,SUM(AD11:AH11),0)</f>
        <v>0</v>
      </c>
    </row>
    <row r="157" spans="2:4" s="6" customFormat="1" ht="21" hidden="1" customHeight="1" x14ac:dyDescent="0.2">
      <c r="B157" s="6">
        <v>6</v>
      </c>
      <c r="C157" s="72">
        <f t="shared" si="39"/>
        <v>44049</v>
      </c>
      <c r="D157" s="6">
        <f>IF(C157&lt;='Plano Diretor'!$AU$4,SUM(AD12:AH12),0)</f>
        <v>0</v>
      </c>
    </row>
    <row r="158" spans="2:4" s="6" customFormat="1" ht="21" hidden="1" customHeight="1" x14ac:dyDescent="0.2">
      <c r="B158" s="6">
        <v>7</v>
      </c>
      <c r="C158" s="72">
        <f t="shared" si="39"/>
        <v>44050</v>
      </c>
      <c r="D158" s="6">
        <f>IF(C158&lt;='Plano Diretor'!$AU$4,SUM(AD13:AH13),0)</f>
        <v>0</v>
      </c>
    </row>
    <row r="159" spans="2:4" s="6" customFormat="1" ht="21" hidden="1" customHeight="1" x14ac:dyDescent="0.2">
      <c r="B159" s="6">
        <v>8</v>
      </c>
      <c r="C159" s="72">
        <f t="shared" si="39"/>
        <v>44051</v>
      </c>
      <c r="D159" s="6">
        <f>IF(C159&lt;='Plano Diretor'!$AU$4,SUM(AD14:AH14),0)</f>
        <v>0</v>
      </c>
    </row>
    <row r="160" spans="2:4" s="6" customFormat="1" ht="21" hidden="1" customHeight="1" x14ac:dyDescent="0.2">
      <c r="B160" s="6">
        <v>9</v>
      </c>
      <c r="C160" s="72">
        <f t="shared" si="39"/>
        <v>44052</v>
      </c>
      <c r="D160" s="6">
        <f>IF(C160&lt;='Plano Diretor'!$AU$4,SUM(AD15:AG15),0)</f>
        <v>0</v>
      </c>
    </row>
    <row r="161" spans="2:4" s="6" customFormat="1" ht="21" hidden="1" customHeight="1" x14ac:dyDescent="0.2">
      <c r="B161" s="6">
        <v>10</v>
      </c>
      <c r="C161" s="72">
        <f t="shared" si="39"/>
        <v>44053</v>
      </c>
      <c r="D161" s="6">
        <f>IF(C161&lt;='Plano Diretor'!$AU$4,SUM(AD16:AG16),0)</f>
        <v>0</v>
      </c>
    </row>
    <row r="162" spans="2:4" s="6" customFormat="1" ht="21" hidden="1" customHeight="1" x14ac:dyDescent="0.2">
      <c r="B162" s="6">
        <v>11</v>
      </c>
      <c r="C162" s="72">
        <f t="shared" si="39"/>
        <v>44054</v>
      </c>
      <c r="D162" s="6">
        <f>IF(C162&lt;='Plano Diretor'!$AU$4,SUM(AD17:AG17),0)</f>
        <v>0</v>
      </c>
    </row>
    <row r="163" spans="2:4" s="6" customFormat="1" ht="21" hidden="1" customHeight="1" x14ac:dyDescent="0.2">
      <c r="B163" s="6">
        <v>12</v>
      </c>
      <c r="C163" s="72">
        <f t="shared" si="39"/>
        <v>44055</v>
      </c>
      <c r="D163" s="6">
        <f>IF(C163&lt;='Plano Diretor'!$AU$4,SUM(AD18:AG18),0)</f>
        <v>0</v>
      </c>
    </row>
    <row r="164" spans="2:4" s="6" customFormat="1" ht="21" hidden="1" customHeight="1" x14ac:dyDescent="0.2">
      <c r="B164" s="6">
        <v>13</v>
      </c>
      <c r="C164" s="72">
        <f t="shared" si="39"/>
        <v>44056</v>
      </c>
      <c r="D164" s="6">
        <f>IF(C164&lt;='Plano Diretor'!$AU$4,SUM(AD19:AG19),0)</f>
        <v>0</v>
      </c>
    </row>
    <row r="165" spans="2:4" s="6" customFormat="1" ht="21" hidden="1" customHeight="1" x14ac:dyDescent="0.2">
      <c r="B165" s="6">
        <v>14</v>
      </c>
      <c r="C165" s="72">
        <f t="shared" si="39"/>
        <v>44057</v>
      </c>
      <c r="D165" s="6">
        <f>IF(C165&lt;='Plano Diretor'!$AU$4,SUM(AE20:AG20),0)</f>
        <v>0</v>
      </c>
    </row>
    <row r="166" spans="2:4" s="6" customFormat="1" ht="21" hidden="1" customHeight="1" x14ac:dyDescent="0.2">
      <c r="B166" s="6">
        <v>15</v>
      </c>
      <c r="C166" s="72">
        <f t="shared" si="39"/>
        <v>44058</v>
      </c>
      <c r="D166" s="6">
        <f>IF(C166&lt;='Plano Diretor'!$AU$4,SUM(AD21:AG21),0)</f>
        <v>0</v>
      </c>
    </row>
    <row r="167" spans="2:4" s="6" customFormat="1" ht="21" hidden="1" customHeight="1" x14ac:dyDescent="0.2">
      <c r="B167" s="6">
        <v>16</v>
      </c>
      <c r="C167" s="72">
        <f t="shared" si="39"/>
        <v>44059</v>
      </c>
      <c r="D167" s="6">
        <f>IF(C167&lt;='Plano Diretor'!$AU$4,SUM(AD22:AG22),0)</f>
        <v>0</v>
      </c>
    </row>
    <row r="168" spans="2:4" s="6" customFormat="1" ht="21" hidden="1" customHeight="1" x14ac:dyDescent="0.2">
      <c r="B168" s="6">
        <v>17</v>
      </c>
      <c r="C168" s="72">
        <f t="shared" si="39"/>
        <v>44060</v>
      </c>
      <c r="D168" s="6">
        <f>IF(C168&lt;='Plano Diretor'!$AU$4,SUM(AD23:AG23),0)</f>
        <v>0</v>
      </c>
    </row>
    <row r="169" spans="2:4" s="6" customFormat="1" ht="21" hidden="1" customHeight="1" x14ac:dyDescent="0.2">
      <c r="B169" s="6">
        <v>18</v>
      </c>
      <c r="C169" s="72">
        <f t="shared" si="39"/>
        <v>44061</v>
      </c>
      <c r="D169" s="6">
        <f>IF(C169&lt;='Plano Diretor'!$AU$4,SUM(AD24:AG24),0)</f>
        <v>0</v>
      </c>
    </row>
    <row r="170" spans="2:4" s="6" customFormat="1" ht="21" hidden="1" customHeight="1" x14ac:dyDescent="0.2">
      <c r="B170" s="6">
        <v>19</v>
      </c>
      <c r="C170" s="72">
        <f t="shared" si="39"/>
        <v>44062</v>
      </c>
      <c r="D170" s="6">
        <f>IF(C170&lt;='Plano Diretor'!$AU$4,SUM(AD25:AG25),0)</f>
        <v>0</v>
      </c>
    </row>
    <row r="171" spans="2:4" s="6" customFormat="1" ht="21" hidden="1" customHeight="1" x14ac:dyDescent="0.2">
      <c r="B171" s="6">
        <v>20</v>
      </c>
      <c r="C171" s="72">
        <f t="shared" si="39"/>
        <v>44063</v>
      </c>
      <c r="D171" s="6">
        <f>IF(C171&lt;='Plano Diretor'!$AU$4,SUM(AD26:AG26),0)</f>
        <v>0</v>
      </c>
    </row>
    <row r="172" spans="2:4" s="6" customFormat="1" ht="21" hidden="1" customHeight="1" x14ac:dyDescent="0.2">
      <c r="B172" s="6">
        <v>21</v>
      </c>
      <c r="C172" s="72">
        <f t="shared" si="39"/>
        <v>44064</v>
      </c>
      <c r="D172" s="6">
        <f>IF(C172&lt;='Plano Diretor'!$AU$4,SUM(AD27:AH27),0)</f>
        <v>0</v>
      </c>
    </row>
    <row r="173" spans="2:4" s="6" customFormat="1" ht="21" hidden="1" customHeight="1" x14ac:dyDescent="0.2">
      <c r="B173" s="6">
        <v>22</v>
      </c>
      <c r="C173" s="72">
        <f t="shared" si="39"/>
        <v>44065</v>
      </c>
      <c r="D173" s="6">
        <f>IF(C173&lt;='Plano Diretor'!$AU$4,SUM(AD28:AH28),0)</f>
        <v>0</v>
      </c>
    </row>
    <row r="174" spans="2:4" s="6" customFormat="1" ht="21" hidden="1" customHeight="1" x14ac:dyDescent="0.2">
      <c r="B174" s="6">
        <v>23</v>
      </c>
      <c r="C174" s="72">
        <f t="shared" si="39"/>
        <v>44066</v>
      </c>
      <c r="D174" s="6">
        <f>IF(C174&lt;='Plano Diretor'!$AU$4,SUM(AD29:AH29),0)</f>
        <v>0</v>
      </c>
    </row>
    <row r="175" spans="2:4" s="6" customFormat="1" ht="21" hidden="1" customHeight="1" x14ac:dyDescent="0.2">
      <c r="B175" s="6">
        <v>24</v>
      </c>
      <c r="C175" s="72">
        <f t="shared" si="39"/>
        <v>44067</v>
      </c>
      <c r="D175" s="6">
        <f>IF(C175&lt;='Plano Diretor'!$AU$4,SUM(AD30:AH30),0)</f>
        <v>0</v>
      </c>
    </row>
    <row r="176" spans="2:4" s="6" customFormat="1" ht="21" hidden="1" customHeight="1" x14ac:dyDescent="0.2">
      <c r="B176" s="6">
        <v>25</v>
      </c>
      <c r="C176" s="72">
        <f t="shared" si="39"/>
        <v>44068</v>
      </c>
      <c r="D176" s="6">
        <f>IF(C176&lt;='Plano Diretor'!$AU$4,SUM(AD31:AH31),0)</f>
        <v>0</v>
      </c>
    </row>
    <row r="177" spans="2:4" s="6" customFormat="1" ht="21" hidden="1" customHeight="1" x14ac:dyDescent="0.2">
      <c r="B177" s="6">
        <v>26</v>
      </c>
      <c r="C177" s="72">
        <f t="shared" si="39"/>
        <v>44069</v>
      </c>
      <c r="D177" s="6">
        <f>IF(C177&lt;='Plano Diretor'!$AU$4,SUM(AD32:AH32),0)</f>
        <v>0</v>
      </c>
    </row>
    <row r="178" spans="2:4" s="6" customFormat="1" ht="21" hidden="1" customHeight="1" x14ac:dyDescent="0.2">
      <c r="B178" s="6">
        <v>27</v>
      </c>
      <c r="C178" s="72">
        <f t="shared" si="39"/>
        <v>44070</v>
      </c>
      <c r="D178" s="6">
        <f>IF(C178&lt;='Plano Diretor'!$AU$4,SUM(AD33:AH33),0)</f>
        <v>0</v>
      </c>
    </row>
    <row r="179" spans="2:4" s="6" customFormat="1" ht="21" hidden="1" customHeight="1" x14ac:dyDescent="0.2">
      <c r="B179" s="6">
        <v>28</v>
      </c>
      <c r="C179" s="72">
        <f t="shared" si="39"/>
        <v>44071</v>
      </c>
      <c r="D179" s="6">
        <f>IF(C179&lt;='Plano Diretor'!$AU$4,SUM(AD34:AH34),0)</f>
        <v>0</v>
      </c>
    </row>
    <row r="180" spans="2:4" s="6" customFormat="1" ht="21" hidden="1" customHeight="1" x14ac:dyDescent="0.2">
      <c r="B180" s="6">
        <v>29</v>
      </c>
      <c r="C180" s="72">
        <f t="shared" si="39"/>
        <v>44072</v>
      </c>
      <c r="D180" s="6">
        <f>IF(C180&lt;='Plano Diretor'!$AU$4,SUM(AD35:AH35),0)</f>
        <v>0</v>
      </c>
    </row>
    <row r="181" spans="2:4" s="6" customFormat="1" ht="21" hidden="1" customHeight="1" x14ac:dyDescent="0.2">
      <c r="B181" s="6">
        <v>30</v>
      </c>
      <c r="C181" s="72">
        <f t="shared" si="39"/>
        <v>44073</v>
      </c>
      <c r="D181" s="6">
        <f>IF(C181&lt;='Plano Diretor'!$AU$4,SUM(AD36:AH36),0)</f>
        <v>0</v>
      </c>
    </row>
    <row r="182" spans="2:4" s="6" customFormat="1" ht="21" hidden="1" customHeight="1" x14ac:dyDescent="0.2">
      <c r="B182" s="6">
        <v>31</v>
      </c>
      <c r="C182" s="72">
        <f t="shared" si="39"/>
        <v>44074</v>
      </c>
      <c r="D182" s="6">
        <f>IF(C182&lt;='Plano Diretor'!$AU$4,SUM(AD37:AH37),0)</f>
        <v>0</v>
      </c>
    </row>
    <row r="183" spans="2:4" s="6" customFormat="1" ht="21" hidden="1" customHeight="1" x14ac:dyDescent="0.2">
      <c r="B183" s="6">
        <v>1</v>
      </c>
      <c r="C183" s="72">
        <f t="shared" ref="C183:C213" si="40">AI7</f>
        <v>44075</v>
      </c>
      <c r="D183" s="6">
        <f>IF(C183&lt;='Plano Diretor'!$AU$4,SUM(AL7:AP7),0)</f>
        <v>0</v>
      </c>
    </row>
    <row r="184" spans="2:4" s="6" customFormat="1" ht="21" hidden="1" customHeight="1" x14ac:dyDescent="0.2">
      <c r="B184" s="6">
        <v>2</v>
      </c>
      <c r="C184" s="72">
        <f t="shared" si="40"/>
        <v>44076</v>
      </c>
      <c r="D184" s="6">
        <f>IF(C184&lt;='Plano Diretor'!$AU$4,SUM(AL8:AP8),0)</f>
        <v>0</v>
      </c>
    </row>
    <row r="185" spans="2:4" s="6" customFormat="1" ht="21" hidden="1" customHeight="1" x14ac:dyDescent="0.2">
      <c r="B185" s="6">
        <v>3</v>
      </c>
      <c r="C185" s="72">
        <f t="shared" si="40"/>
        <v>44077</v>
      </c>
      <c r="D185" s="6">
        <f>IF(C185&lt;='Plano Diretor'!$AU$4,SUM(AL9:AP9),0)</f>
        <v>0</v>
      </c>
    </row>
    <row r="186" spans="2:4" s="6" customFormat="1" ht="21" hidden="1" customHeight="1" x14ac:dyDescent="0.2">
      <c r="B186" s="6">
        <v>4</v>
      </c>
      <c r="C186" s="72">
        <f t="shared" si="40"/>
        <v>44078</v>
      </c>
      <c r="D186" s="6">
        <f>IF(C186&lt;='Plano Diretor'!$AU$4,SUM(AL10:AP10),0)</f>
        <v>0</v>
      </c>
    </row>
    <row r="187" spans="2:4" s="6" customFormat="1" ht="21" hidden="1" customHeight="1" x14ac:dyDescent="0.2">
      <c r="B187" s="6">
        <v>5</v>
      </c>
      <c r="C187" s="72">
        <f t="shared" si="40"/>
        <v>44079</v>
      </c>
      <c r="D187" s="6">
        <f>IF(C187&lt;='Plano Diretor'!$AU$4,SUM(AL11:AP11),0)</f>
        <v>0</v>
      </c>
    </row>
    <row r="188" spans="2:4" s="6" customFormat="1" ht="21" hidden="1" customHeight="1" x14ac:dyDescent="0.2">
      <c r="B188" s="6">
        <v>6</v>
      </c>
      <c r="C188" s="72">
        <f t="shared" si="40"/>
        <v>44080</v>
      </c>
      <c r="D188" s="6">
        <f>IF(C188&lt;='Plano Diretor'!$AU$4,SUM(AL12:AP12),0)</f>
        <v>0</v>
      </c>
    </row>
    <row r="189" spans="2:4" s="6" customFormat="1" ht="21" hidden="1" customHeight="1" x14ac:dyDescent="0.2">
      <c r="B189" s="6">
        <v>7</v>
      </c>
      <c r="C189" s="72">
        <f t="shared" si="40"/>
        <v>44081</v>
      </c>
      <c r="D189" s="6">
        <f>IF(C189&lt;='Plano Diretor'!$AU$4,SUM(AL13:AP13),0)</f>
        <v>0</v>
      </c>
    </row>
    <row r="190" spans="2:4" s="6" customFormat="1" ht="21" hidden="1" customHeight="1" x14ac:dyDescent="0.2">
      <c r="B190" s="6">
        <v>8</v>
      </c>
      <c r="C190" s="72">
        <f t="shared" si="40"/>
        <v>44082</v>
      </c>
      <c r="D190" s="6">
        <f>IF(C190&lt;='Plano Diretor'!$AU$4,SUM(AL14:AP14),0)</f>
        <v>0</v>
      </c>
    </row>
    <row r="191" spans="2:4" s="6" customFormat="1" ht="21" hidden="1" customHeight="1" x14ac:dyDescent="0.2">
      <c r="B191" s="6">
        <v>9</v>
      </c>
      <c r="C191" s="72">
        <f t="shared" si="40"/>
        <v>44083</v>
      </c>
      <c r="D191" s="6">
        <f>IF(C191&lt;='Plano Diretor'!$AU$4,SUM(AL15:AP15),0)</f>
        <v>0</v>
      </c>
    </row>
    <row r="192" spans="2:4" s="6" customFormat="1" ht="21" hidden="1" customHeight="1" x14ac:dyDescent="0.2">
      <c r="B192" s="6">
        <v>10</v>
      </c>
      <c r="C192" s="72">
        <f t="shared" si="40"/>
        <v>44084</v>
      </c>
      <c r="D192" s="6">
        <f>IF(C192&lt;='Plano Diretor'!$AU$4,SUM(AL16:AP16),0)</f>
        <v>0</v>
      </c>
    </row>
    <row r="193" spans="2:4" s="6" customFormat="1" ht="21" hidden="1" customHeight="1" x14ac:dyDescent="0.2">
      <c r="B193" s="6">
        <v>11</v>
      </c>
      <c r="C193" s="72">
        <f t="shared" si="40"/>
        <v>44085</v>
      </c>
      <c r="D193" s="6">
        <f>IF(C193&lt;='Plano Diretor'!$AU$4,SUM(AL17:AP17),0)</f>
        <v>0</v>
      </c>
    </row>
    <row r="194" spans="2:4" s="6" customFormat="1" ht="21" hidden="1" customHeight="1" x14ac:dyDescent="0.2">
      <c r="B194" s="6">
        <v>12</v>
      </c>
      <c r="C194" s="72">
        <f t="shared" si="40"/>
        <v>44086</v>
      </c>
      <c r="D194" s="6">
        <f>IF(C194&lt;='Plano Diretor'!$AU$4,SUM(AL18:AP18),0)</f>
        <v>0</v>
      </c>
    </row>
    <row r="195" spans="2:4" s="6" customFormat="1" ht="21" hidden="1" customHeight="1" x14ac:dyDescent="0.2">
      <c r="B195" s="6">
        <v>13</v>
      </c>
      <c r="C195" s="72">
        <f t="shared" si="40"/>
        <v>44087</v>
      </c>
      <c r="D195" s="6">
        <f>IF(C195&lt;='Plano Diretor'!$AU$4,SUM(AL19:AP19),0)</f>
        <v>0</v>
      </c>
    </row>
    <row r="196" spans="2:4" s="6" customFormat="1" ht="21" hidden="1" customHeight="1" x14ac:dyDescent="0.2">
      <c r="B196" s="6">
        <v>14</v>
      </c>
      <c r="C196" s="72">
        <f t="shared" si="40"/>
        <v>44088</v>
      </c>
      <c r="D196" s="6">
        <f>IF(C196&lt;='Plano Diretor'!$AU$4,SUM(AL20:AP20),0)</f>
        <v>0</v>
      </c>
    </row>
    <row r="197" spans="2:4" s="6" customFormat="1" ht="21" hidden="1" customHeight="1" x14ac:dyDescent="0.2">
      <c r="B197" s="6">
        <v>15</v>
      </c>
      <c r="C197" s="72">
        <f t="shared" si="40"/>
        <v>44089</v>
      </c>
      <c r="D197" s="6">
        <f>IF(C197&lt;='Plano Diretor'!$AU$4,SUM(AL21:AP21),0)</f>
        <v>0</v>
      </c>
    </row>
    <row r="198" spans="2:4" s="6" customFormat="1" ht="21" hidden="1" customHeight="1" x14ac:dyDescent="0.2">
      <c r="B198" s="6">
        <v>16</v>
      </c>
      <c r="C198" s="72">
        <f t="shared" si="40"/>
        <v>44090</v>
      </c>
      <c r="D198" s="6">
        <f>IF(C198&lt;='Plano Diretor'!$AU$4,SUM(AL22:AP22),0)</f>
        <v>0</v>
      </c>
    </row>
    <row r="199" spans="2:4" s="6" customFormat="1" ht="21" hidden="1" customHeight="1" x14ac:dyDescent="0.2">
      <c r="B199" s="6">
        <v>17</v>
      </c>
      <c r="C199" s="72">
        <f t="shared" si="40"/>
        <v>44091</v>
      </c>
      <c r="D199" s="6">
        <f>IF(C199&lt;='Plano Diretor'!$AU$4,SUM(AL23:AP23),0)</f>
        <v>0</v>
      </c>
    </row>
    <row r="200" spans="2:4" s="6" customFormat="1" ht="21" hidden="1" customHeight="1" x14ac:dyDescent="0.2">
      <c r="B200" s="6">
        <v>18</v>
      </c>
      <c r="C200" s="72">
        <f t="shared" si="40"/>
        <v>44092</v>
      </c>
      <c r="D200" s="6">
        <f>IF(C200&lt;='Plano Diretor'!$AU$4,SUM(AL24:AP24),0)</f>
        <v>0</v>
      </c>
    </row>
    <row r="201" spans="2:4" s="6" customFormat="1" ht="21" hidden="1" customHeight="1" x14ac:dyDescent="0.2">
      <c r="B201" s="6">
        <v>19</v>
      </c>
      <c r="C201" s="72">
        <f t="shared" si="40"/>
        <v>44093</v>
      </c>
      <c r="D201" s="6">
        <f>IF(C201&lt;='Plano Diretor'!$AU$4,SUM(AL25:AP25),0)</f>
        <v>0</v>
      </c>
    </row>
    <row r="202" spans="2:4" s="6" customFormat="1" ht="21" hidden="1" customHeight="1" x14ac:dyDescent="0.2">
      <c r="B202" s="6">
        <v>20</v>
      </c>
      <c r="C202" s="72">
        <f t="shared" si="40"/>
        <v>44094</v>
      </c>
      <c r="D202" s="6">
        <f>IF(C202&lt;='Plano Diretor'!$AU$4,SUM(AL26:AP26),0)</f>
        <v>0</v>
      </c>
    </row>
    <row r="203" spans="2:4" s="6" customFormat="1" ht="21" hidden="1" customHeight="1" x14ac:dyDescent="0.2">
      <c r="B203" s="6">
        <v>21</v>
      </c>
      <c r="C203" s="72">
        <f t="shared" si="40"/>
        <v>44095</v>
      </c>
      <c r="D203" s="6">
        <f>IF(C203&lt;='Plano Diretor'!$AU$4,SUM(AL27:AP27),0)</f>
        <v>0</v>
      </c>
    </row>
    <row r="204" spans="2:4" s="6" customFormat="1" ht="21" hidden="1" customHeight="1" x14ac:dyDescent="0.2">
      <c r="B204" s="6">
        <v>22</v>
      </c>
      <c r="C204" s="72">
        <f t="shared" si="40"/>
        <v>44096</v>
      </c>
      <c r="D204" s="6">
        <f>IF(C204&lt;='Plano Diretor'!$AU$4,SUM(AL28:AP28),0)</f>
        <v>0</v>
      </c>
    </row>
    <row r="205" spans="2:4" s="6" customFormat="1" ht="21" hidden="1" customHeight="1" x14ac:dyDescent="0.2">
      <c r="B205" s="6">
        <v>23</v>
      </c>
      <c r="C205" s="72">
        <f t="shared" si="40"/>
        <v>44097</v>
      </c>
      <c r="D205" s="6">
        <f>IF(C205&lt;='Plano Diretor'!$AU$4,SUM(AL29:AP29),0)</f>
        <v>0</v>
      </c>
    </row>
    <row r="206" spans="2:4" s="6" customFormat="1" ht="21" hidden="1" customHeight="1" x14ac:dyDescent="0.2">
      <c r="B206" s="6">
        <v>24</v>
      </c>
      <c r="C206" s="72">
        <f t="shared" si="40"/>
        <v>44098</v>
      </c>
      <c r="D206" s="6">
        <f>IF(C206&lt;='Plano Diretor'!$AU$4,SUM(AL30:AP30),0)</f>
        <v>0</v>
      </c>
    </row>
    <row r="207" spans="2:4" s="6" customFormat="1" ht="21" hidden="1" customHeight="1" x14ac:dyDescent="0.2">
      <c r="B207" s="6">
        <v>25</v>
      </c>
      <c r="C207" s="72">
        <f t="shared" si="40"/>
        <v>44099</v>
      </c>
      <c r="D207" s="6">
        <f>IF(C207&lt;='Plano Diretor'!$AU$4,SUM(AL31:AP31),0)</f>
        <v>0</v>
      </c>
    </row>
    <row r="208" spans="2:4" s="6" customFormat="1" ht="21" hidden="1" customHeight="1" x14ac:dyDescent="0.2">
      <c r="B208" s="6">
        <v>26</v>
      </c>
      <c r="C208" s="72">
        <f t="shared" si="40"/>
        <v>44100</v>
      </c>
      <c r="D208" s="6">
        <f>IF(C208&lt;='Plano Diretor'!$AU$4,SUM(AL32:AP32),0)</f>
        <v>0</v>
      </c>
    </row>
    <row r="209" spans="2:4" s="6" customFormat="1" ht="21" hidden="1" customHeight="1" x14ac:dyDescent="0.2">
      <c r="B209" s="6">
        <v>27</v>
      </c>
      <c r="C209" s="72">
        <f t="shared" si="40"/>
        <v>44101</v>
      </c>
      <c r="D209" s="6">
        <f>IF(C209&lt;='Plano Diretor'!$AU$4,SUM(AL33:AP33),0)</f>
        <v>0</v>
      </c>
    </row>
    <row r="210" spans="2:4" s="6" customFormat="1" ht="21" hidden="1" customHeight="1" x14ac:dyDescent="0.2">
      <c r="B210" s="6">
        <v>28</v>
      </c>
      <c r="C210" s="72">
        <f t="shared" si="40"/>
        <v>44102</v>
      </c>
      <c r="D210" s="6">
        <f>IF(C210&lt;='Plano Diretor'!$AU$4,SUM(AL34:AP34),0)</f>
        <v>0</v>
      </c>
    </row>
    <row r="211" spans="2:4" s="6" customFormat="1" ht="21" hidden="1" customHeight="1" x14ac:dyDescent="0.2">
      <c r="B211" s="6">
        <v>29</v>
      </c>
      <c r="C211" s="72">
        <f t="shared" si="40"/>
        <v>44103</v>
      </c>
      <c r="D211" s="6">
        <f>IF(C211&lt;='Plano Diretor'!$AU$4,SUM(AL35:AP35),0)</f>
        <v>0</v>
      </c>
    </row>
    <row r="212" spans="2:4" s="6" customFormat="1" ht="21" hidden="1" customHeight="1" x14ac:dyDescent="0.2">
      <c r="B212" s="6">
        <v>30</v>
      </c>
      <c r="C212" s="72">
        <f t="shared" si="40"/>
        <v>44104</v>
      </c>
      <c r="D212" s="6">
        <f>IF(C212&lt;='Plano Diretor'!$AU$4,SUM(AL36:AP36),0)</f>
        <v>0</v>
      </c>
    </row>
    <row r="213" spans="2:4" s="6" customFormat="1" ht="21" hidden="1" customHeight="1" x14ac:dyDescent="0.2">
      <c r="B213" s="6">
        <v>31</v>
      </c>
      <c r="C213" s="72" t="str">
        <f t="shared" si="40"/>
        <v/>
      </c>
      <c r="D213" s="6">
        <f>IF(C213&lt;='Plano Diretor'!$AU$4,SUM(AL37:AP37),0)</f>
        <v>0</v>
      </c>
    </row>
    <row r="214" spans="2:4" s="6" customFormat="1" ht="21" hidden="1" customHeight="1" x14ac:dyDescent="0.2">
      <c r="B214" s="6">
        <v>1</v>
      </c>
      <c r="C214" s="72">
        <f t="shared" ref="C214:C244" si="41">AQ7</f>
        <v>44105</v>
      </c>
      <c r="D214" s="6">
        <f>IF(C214&lt;='Plano Diretor'!$AU$4,SUM(AT7:AX7),0)</f>
        <v>0</v>
      </c>
    </row>
    <row r="215" spans="2:4" s="6" customFormat="1" ht="21" hidden="1" customHeight="1" x14ac:dyDescent="0.2">
      <c r="B215" s="6">
        <v>2</v>
      </c>
      <c r="C215" s="72">
        <f t="shared" si="41"/>
        <v>44106</v>
      </c>
      <c r="D215" s="6">
        <f>IF(C215&lt;='Plano Diretor'!$AU$4,SUM(AT8:AX8),0)</f>
        <v>0</v>
      </c>
    </row>
    <row r="216" spans="2:4" s="6" customFormat="1" ht="21" hidden="1" customHeight="1" x14ac:dyDescent="0.2">
      <c r="B216" s="6">
        <v>3</v>
      </c>
      <c r="C216" s="72">
        <f t="shared" si="41"/>
        <v>44107</v>
      </c>
      <c r="D216" s="6">
        <f>IF(C216&lt;='Plano Diretor'!$AU$4,SUM(AT9:AX9),0)</f>
        <v>0</v>
      </c>
    </row>
    <row r="217" spans="2:4" s="6" customFormat="1" ht="21" hidden="1" customHeight="1" x14ac:dyDescent="0.2">
      <c r="B217" s="6">
        <v>4</v>
      </c>
      <c r="C217" s="72">
        <f t="shared" si="41"/>
        <v>44108</v>
      </c>
      <c r="D217" s="6">
        <f>IF(C217&lt;='Plano Diretor'!$AU$4,SUM(AT10:AX10),0)</f>
        <v>0</v>
      </c>
    </row>
    <row r="218" spans="2:4" s="6" customFormat="1" ht="21" hidden="1" customHeight="1" x14ac:dyDescent="0.2">
      <c r="B218" s="6">
        <v>5</v>
      </c>
      <c r="C218" s="72">
        <f t="shared" si="41"/>
        <v>44109</v>
      </c>
      <c r="D218" s="6">
        <f>IF(C218&lt;='Plano Diretor'!$AU$4,SUM(AT11:AX11),0)</f>
        <v>0</v>
      </c>
    </row>
    <row r="219" spans="2:4" s="6" customFormat="1" ht="21" hidden="1" customHeight="1" x14ac:dyDescent="0.2">
      <c r="B219" s="6">
        <v>6</v>
      </c>
      <c r="C219" s="72">
        <f t="shared" si="41"/>
        <v>44110</v>
      </c>
      <c r="D219" s="6">
        <f>IF(C219&lt;='Plano Diretor'!$AU$4,SUM(AT12:AX12),0)</f>
        <v>0</v>
      </c>
    </row>
    <row r="220" spans="2:4" s="6" customFormat="1" ht="21" hidden="1" customHeight="1" x14ac:dyDescent="0.2">
      <c r="B220" s="6">
        <v>7</v>
      </c>
      <c r="C220" s="72">
        <f t="shared" si="41"/>
        <v>44111</v>
      </c>
      <c r="D220" s="6">
        <f>IF(C220&lt;='Plano Diretor'!$AU$4,SUM(AT13:AX13),0)</f>
        <v>0</v>
      </c>
    </row>
    <row r="221" spans="2:4" s="6" customFormat="1" ht="21" hidden="1" customHeight="1" x14ac:dyDescent="0.2">
      <c r="B221" s="6">
        <v>8</v>
      </c>
      <c r="C221" s="72">
        <f t="shared" si="41"/>
        <v>44112</v>
      </c>
      <c r="D221" s="6">
        <f>IF(C221&lt;='Plano Diretor'!$AU$4,SUM(AT14:AX14),0)</f>
        <v>0</v>
      </c>
    </row>
    <row r="222" spans="2:4" s="6" customFormat="1" ht="21" hidden="1" customHeight="1" x14ac:dyDescent="0.2">
      <c r="B222" s="6">
        <v>9</v>
      </c>
      <c r="C222" s="72">
        <f t="shared" si="41"/>
        <v>44113</v>
      </c>
      <c r="D222" s="6">
        <f>IF(C222&lt;='Plano Diretor'!$AU$4,SUM(AT15:AX15),0)</f>
        <v>0</v>
      </c>
    </row>
    <row r="223" spans="2:4" s="6" customFormat="1" ht="21" hidden="1" customHeight="1" x14ac:dyDescent="0.2">
      <c r="B223" s="6">
        <v>10</v>
      </c>
      <c r="C223" s="72">
        <f t="shared" si="41"/>
        <v>44114</v>
      </c>
      <c r="D223" s="6">
        <f>IF(C223&lt;='Plano Diretor'!$AU$4,SUM(AT16:AX16),0)</f>
        <v>0</v>
      </c>
    </row>
    <row r="224" spans="2:4" s="6" customFormat="1" ht="21" hidden="1" customHeight="1" x14ac:dyDescent="0.2">
      <c r="B224" s="6">
        <v>11</v>
      </c>
      <c r="C224" s="72">
        <f t="shared" si="41"/>
        <v>44115</v>
      </c>
      <c r="D224" s="6">
        <f>IF(C224&lt;='Plano Diretor'!$AU$4,SUM(AT17:AX17),0)</f>
        <v>0</v>
      </c>
    </row>
    <row r="225" spans="2:4" s="6" customFormat="1" ht="21" hidden="1" customHeight="1" x14ac:dyDescent="0.2">
      <c r="B225" s="6">
        <v>12</v>
      </c>
      <c r="C225" s="72">
        <f t="shared" si="41"/>
        <v>44116</v>
      </c>
      <c r="D225" s="6">
        <f>IF(C225&lt;='Plano Diretor'!$AU$4,SUM(AT18:AX18),0)</f>
        <v>0</v>
      </c>
    </row>
    <row r="226" spans="2:4" s="6" customFormat="1" ht="21" hidden="1" customHeight="1" x14ac:dyDescent="0.2">
      <c r="B226" s="6">
        <v>13</v>
      </c>
      <c r="C226" s="72">
        <f t="shared" si="41"/>
        <v>44117</v>
      </c>
      <c r="D226" s="6">
        <f>IF(C226&lt;='Plano Diretor'!$AU$4,SUM(AT19:AX19),0)</f>
        <v>0</v>
      </c>
    </row>
    <row r="227" spans="2:4" s="6" customFormat="1" ht="21" hidden="1" customHeight="1" x14ac:dyDescent="0.2">
      <c r="B227" s="6">
        <v>14</v>
      </c>
      <c r="C227" s="72">
        <f t="shared" si="41"/>
        <v>44118</v>
      </c>
      <c r="D227" s="6">
        <f>IF(C227&lt;='Plano Diretor'!$AU$4,SUM(AT20:AX20),0)</f>
        <v>0</v>
      </c>
    </row>
    <row r="228" spans="2:4" s="6" customFormat="1" ht="21" hidden="1" customHeight="1" x14ac:dyDescent="0.2">
      <c r="B228" s="6">
        <v>15</v>
      </c>
      <c r="C228" s="72">
        <f t="shared" si="41"/>
        <v>44119</v>
      </c>
      <c r="D228" s="6">
        <f>IF(C228&lt;='Plano Diretor'!$AU$4,SUM(AT21:AX21),0)</f>
        <v>0</v>
      </c>
    </row>
    <row r="229" spans="2:4" s="6" customFormat="1" ht="21" hidden="1" customHeight="1" x14ac:dyDescent="0.2">
      <c r="B229" s="6">
        <v>16</v>
      </c>
      <c r="C229" s="72">
        <f t="shared" si="41"/>
        <v>44120</v>
      </c>
      <c r="D229" s="6">
        <f>IF(C229&lt;='Plano Diretor'!$AU$4,SUM(AT22:AX22),0)</f>
        <v>0</v>
      </c>
    </row>
    <row r="230" spans="2:4" s="6" customFormat="1" ht="21" hidden="1" customHeight="1" x14ac:dyDescent="0.2">
      <c r="B230" s="6">
        <v>17</v>
      </c>
      <c r="C230" s="72">
        <f t="shared" si="41"/>
        <v>44121</v>
      </c>
      <c r="D230" s="6">
        <f>IF(C230&lt;='Plano Diretor'!$AU$4,SUM(AT23:AX23),0)</f>
        <v>0</v>
      </c>
    </row>
    <row r="231" spans="2:4" s="6" customFormat="1" ht="21" hidden="1" customHeight="1" x14ac:dyDescent="0.2">
      <c r="B231" s="6">
        <v>18</v>
      </c>
      <c r="C231" s="72">
        <f t="shared" si="41"/>
        <v>44122</v>
      </c>
      <c r="D231" s="6">
        <f>IF(C231&lt;='Plano Diretor'!$AU$4,SUM(AT24:AX24),0)</f>
        <v>0</v>
      </c>
    </row>
    <row r="232" spans="2:4" s="6" customFormat="1" ht="21" hidden="1" customHeight="1" x14ac:dyDescent="0.2">
      <c r="B232" s="6">
        <v>19</v>
      </c>
      <c r="C232" s="72">
        <f t="shared" si="41"/>
        <v>44123</v>
      </c>
      <c r="D232" s="6">
        <f>IF(C232&lt;='Plano Diretor'!$AU$4,SUM(AT25:AX25),0)</f>
        <v>0</v>
      </c>
    </row>
    <row r="233" spans="2:4" s="6" customFormat="1" ht="21" hidden="1" customHeight="1" x14ac:dyDescent="0.2">
      <c r="B233" s="6">
        <v>20</v>
      </c>
      <c r="C233" s="72">
        <f t="shared" si="41"/>
        <v>44124</v>
      </c>
      <c r="D233" s="6">
        <f>IF(C233&lt;='Plano Diretor'!$AU$4,SUM(AT26:AX26),0)</f>
        <v>0</v>
      </c>
    </row>
    <row r="234" spans="2:4" s="6" customFormat="1" ht="21" hidden="1" customHeight="1" x14ac:dyDescent="0.2">
      <c r="B234" s="6">
        <v>21</v>
      </c>
      <c r="C234" s="72">
        <f t="shared" si="41"/>
        <v>44125</v>
      </c>
      <c r="D234" s="6">
        <f>IF(C234&lt;='Plano Diretor'!$AU$4,SUM(AT27:AX27),0)</f>
        <v>0</v>
      </c>
    </row>
    <row r="235" spans="2:4" s="6" customFormat="1" ht="21" hidden="1" customHeight="1" x14ac:dyDescent="0.2">
      <c r="B235" s="6">
        <v>22</v>
      </c>
      <c r="C235" s="72">
        <f t="shared" si="41"/>
        <v>44126</v>
      </c>
      <c r="D235" s="6">
        <f>IF(C235&lt;='Plano Diretor'!$AU$4,SUM(AT28:AX28),0)</f>
        <v>0</v>
      </c>
    </row>
    <row r="236" spans="2:4" s="6" customFormat="1" ht="21" hidden="1" customHeight="1" x14ac:dyDescent="0.2">
      <c r="B236" s="6">
        <v>23</v>
      </c>
      <c r="C236" s="72">
        <f t="shared" si="41"/>
        <v>44127</v>
      </c>
      <c r="D236" s="6">
        <f>IF(C236&lt;='Plano Diretor'!$AU$4,SUM(AT29:AX29),0)</f>
        <v>0</v>
      </c>
    </row>
    <row r="237" spans="2:4" s="6" customFormat="1" ht="21" hidden="1" customHeight="1" x14ac:dyDescent="0.2">
      <c r="B237" s="6">
        <v>24</v>
      </c>
      <c r="C237" s="72">
        <f t="shared" si="41"/>
        <v>44128</v>
      </c>
      <c r="D237" s="6">
        <f>IF(C237&lt;='Plano Diretor'!$AU$4,SUM(AT30:AX30),0)</f>
        <v>0</v>
      </c>
    </row>
    <row r="238" spans="2:4" s="6" customFormat="1" ht="21" hidden="1" customHeight="1" x14ac:dyDescent="0.2">
      <c r="B238" s="6">
        <v>25</v>
      </c>
      <c r="C238" s="72">
        <f t="shared" si="41"/>
        <v>44129</v>
      </c>
      <c r="D238" s="6">
        <f>IF(C238&lt;='Plano Diretor'!$AU$4,SUM(AT31:AX31),0)</f>
        <v>0</v>
      </c>
    </row>
    <row r="239" spans="2:4" s="6" customFormat="1" ht="21" hidden="1" customHeight="1" x14ac:dyDescent="0.2">
      <c r="B239" s="6">
        <v>26</v>
      </c>
      <c r="C239" s="72">
        <f t="shared" si="41"/>
        <v>44130</v>
      </c>
      <c r="D239" s="6">
        <f>IF(C239&lt;='Plano Diretor'!$AU$4,SUM(AT32:AX32),0)</f>
        <v>0</v>
      </c>
    </row>
    <row r="240" spans="2:4" s="6" customFormat="1" ht="21" hidden="1" customHeight="1" x14ac:dyDescent="0.2">
      <c r="B240" s="6">
        <v>27</v>
      </c>
      <c r="C240" s="72">
        <f t="shared" si="41"/>
        <v>44131</v>
      </c>
      <c r="D240" s="6">
        <f>IF(C240&lt;='Plano Diretor'!$AU$4,SUM(AT33:AX33),0)</f>
        <v>0</v>
      </c>
    </row>
    <row r="241" spans="2:4" s="6" customFormat="1" ht="21" hidden="1" customHeight="1" x14ac:dyDescent="0.2">
      <c r="B241" s="6">
        <v>28</v>
      </c>
      <c r="C241" s="72">
        <f t="shared" si="41"/>
        <v>44132</v>
      </c>
      <c r="D241" s="6">
        <f>IF(C241&lt;='Plano Diretor'!$AU$4,SUM(AT34:AX34),0)</f>
        <v>0</v>
      </c>
    </row>
    <row r="242" spans="2:4" s="6" customFormat="1" ht="21" hidden="1" customHeight="1" x14ac:dyDescent="0.2">
      <c r="B242" s="6">
        <v>29</v>
      </c>
      <c r="C242" s="72">
        <f t="shared" si="41"/>
        <v>44133</v>
      </c>
      <c r="D242" s="6">
        <f>IF(C242&lt;='Plano Diretor'!$AU$4,SUM(AT35:AX35),0)</f>
        <v>0</v>
      </c>
    </row>
    <row r="243" spans="2:4" s="6" customFormat="1" ht="21" hidden="1" customHeight="1" x14ac:dyDescent="0.2">
      <c r="B243" s="6">
        <v>30</v>
      </c>
      <c r="C243" s="72">
        <f t="shared" si="41"/>
        <v>44134</v>
      </c>
      <c r="D243" s="6">
        <f>IF(C243&lt;='Plano Diretor'!$AU$4,SUM(AT36:AX36),0)</f>
        <v>0</v>
      </c>
    </row>
    <row r="244" spans="2:4" s="6" customFormat="1" ht="21" hidden="1" customHeight="1" x14ac:dyDescent="0.2">
      <c r="B244" s="6">
        <v>31</v>
      </c>
      <c r="C244" s="72">
        <f t="shared" si="41"/>
        <v>44135</v>
      </c>
      <c r="D244" s="6">
        <f>IF(C244&lt;='Plano Diretor'!$AU$4,SUM(AT37:AX37),0)</f>
        <v>0</v>
      </c>
    </row>
    <row r="245" spans="2:4" s="6" customFormat="1" ht="21" hidden="1" customHeight="1" x14ac:dyDescent="0.2">
      <c r="B245" s="6">
        <v>1</v>
      </c>
      <c r="C245" s="72">
        <f t="shared" ref="C245:C275" si="42">AY7</f>
        <v>44136</v>
      </c>
      <c r="D245" s="6">
        <f>IF(C245&lt;='Plano Diretor'!$AU$4,SUM(AD7:BF7),0)</f>
        <v>132325</v>
      </c>
    </row>
    <row r="246" spans="2:4" s="6" customFormat="1" ht="21" hidden="1" customHeight="1" x14ac:dyDescent="0.2">
      <c r="B246" s="6">
        <v>2</v>
      </c>
      <c r="C246" s="72">
        <f t="shared" si="42"/>
        <v>44137</v>
      </c>
      <c r="D246" s="6">
        <f>IF(C246&lt;='Plano Diretor'!$AU$4,SUM(BB8:BF8),0)</f>
        <v>0</v>
      </c>
    </row>
    <row r="247" spans="2:4" s="6" customFormat="1" ht="21" hidden="1" customHeight="1" x14ac:dyDescent="0.2">
      <c r="B247" s="6">
        <v>3</v>
      </c>
      <c r="C247" s="72">
        <f t="shared" si="42"/>
        <v>44138</v>
      </c>
      <c r="D247" s="6">
        <f>IF(C247&lt;='Plano Diretor'!$AU$4,SUM(BB9:BF9),0)</f>
        <v>0</v>
      </c>
    </row>
    <row r="248" spans="2:4" s="6" customFormat="1" ht="21" hidden="1" customHeight="1" x14ac:dyDescent="0.2">
      <c r="B248" s="6">
        <v>4</v>
      </c>
      <c r="C248" s="72">
        <f t="shared" si="42"/>
        <v>44139</v>
      </c>
      <c r="D248" s="6">
        <f>IF(C248&lt;='Plano Diretor'!$AU$4,SUM(BB10:BF10),0)</f>
        <v>0</v>
      </c>
    </row>
    <row r="249" spans="2:4" s="6" customFormat="1" ht="21" hidden="1" customHeight="1" x14ac:dyDescent="0.2">
      <c r="B249" s="6">
        <v>5</v>
      </c>
      <c r="C249" s="72">
        <f t="shared" si="42"/>
        <v>44140</v>
      </c>
      <c r="D249" s="6">
        <f>IF(C249&lt;='Plano Diretor'!$AU$4,SUM(BB11:BF11),0)</f>
        <v>0</v>
      </c>
    </row>
    <row r="250" spans="2:4" s="6" customFormat="1" ht="21" hidden="1" customHeight="1" x14ac:dyDescent="0.2">
      <c r="B250" s="6">
        <v>6</v>
      </c>
      <c r="C250" s="72">
        <f t="shared" si="42"/>
        <v>44141</v>
      </c>
      <c r="D250" s="6">
        <f>IF(C250&lt;='Plano Diretor'!$AU$4,SUM(BB12:BF12),0)</f>
        <v>0</v>
      </c>
    </row>
    <row r="251" spans="2:4" s="6" customFormat="1" ht="21" hidden="1" customHeight="1" x14ac:dyDescent="0.2">
      <c r="B251" s="6">
        <v>7</v>
      </c>
      <c r="C251" s="72">
        <f t="shared" si="42"/>
        <v>44142</v>
      </c>
      <c r="D251" s="6">
        <f>IF(C251&lt;='Plano Diretor'!$AU$4,SUM(BB13:BF13),0)</f>
        <v>0</v>
      </c>
    </row>
    <row r="252" spans="2:4" s="6" customFormat="1" ht="21" hidden="1" customHeight="1" x14ac:dyDescent="0.2">
      <c r="B252" s="6">
        <v>8</v>
      </c>
      <c r="C252" s="72">
        <f t="shared" si="42"/>
        <v>44143</v>
      </c>
      <c r="D252" s="6">
        <f>IF(C252&lt;='Plano Diretor'!$AU$4,SUM(BB14:BF14),0)</f>
        <v>0</v>
      </c>
    </row>
    <row r="253" spans="2:4" s="6" customFormat="1" ht="21" hidden="1" customHeight="1" x14ac:dyDescent="0.2">
      <c r="B253" s="6">
        <v>9</v>
      </c>
      <c r="C253" s="72">
        <f t="shared" si="42"/>
        <v>44144</v>
      </c>
      <c r="D253" s="6">
        <f>IF(C253&lt;='Plano Diretor'!$AU$4,SUM(BB15:BF15),0)</f>
        <v>0</v>
      </c>
    </row>
    <row r="254" spans="2:4" s="6" customFormat="1" ht="21" hidden="1" customHeight="1" x14ac:dyDescent="0.2">
      <c r="B254" s="6">
        <v>10</v>
      </c>
      <c r="C254" s="72">
        <f t="shared" si="42"/>
        <v>44145</v>
      </c>
      <c r="D254" s="6">
        <f>IF(C254&lt;='Plano Diretor'!$AU$4,SUM(BB16:BF16),0)</f>
        <v>0</v>
      </c>
    </row>
    <row r="255" spans="2:4" s="6" customFormat="1" ht="21" hidden="1" customHeight="1" x14ac:dyDescent="0.2">
      <c r="B255" s="6">
        <v>11</v>
      </c>
      <c r="C255" s="72">
        <f t="shared" si="42"/>
        <v>44146</v>
      </c>
      <c r="D255" s="6">
        <f>IF(C255&lt;='Plano Diretor'!$AU$4,SUM(BB17:BF17),0)</f>
        <v>0</v>
      </c>
    </row>
    <row r="256" spans="2:4" s="6" customFormat="1" ht="21" hidden="1" customHeight="1" x14ac:dyDescent="0.2">
      <c r="B256" s="6">
        <v>12</v>
      </c>
      <c r="C256" s="72">
        <f t="shared" si="42"/>
        <v>44147</v>
      </c>
      <c r="D256" s="6">
        <f>IF(C256&lt;='Plano Diretor'!$AU$4,SUM(BB18:BF18),0)</f>
        <v>0</v>
      </c>
    </row>
    <row r="257" spans="2:4" hidden="1" x14ac:dyDescent="0.2">
      <c r="B257" s="6">
        <v>13</v>
      </c>
      <c r="C257" s="72">
        <f t="shared" si="42"/>
        <v>44148</v>
      </c>
      <c r="D257" s="6">
        <f>IF(C257&lt;='Plano Diretor'!$AU$4,SUM(BB19:BF19),0)</f>
        <v>0</v>
      </c>
    </row>
    <row r="258" spans="2:4" hidden="1" x14ac:dyDescent="0.2">
      <c r="B258" s="6">
        <v>14</v>
      </c>
      <c r="C258" s="72">
        <f t="shared" si="42"/>
        <v>44149</v>
      </c>
      <c r="D258" s="6">
        <f>IF(C258&lt;='Plano Diretor'!$AU$4,SUM(BB20:BF20),0)</f>
        <v>0</v>
      </c>
    </row>
    <row r="259" spans="2:4" hidden="1" x14ac:dyDescent="0.2">
      <c r="B259" s="6">
        <v>15</v>
      </c>
      <c r="C259" s="72">
        <f t="shared" si="42"/>
        <v>44150</v>
      </c>
      <c r="D259" s="6">
        <f>IF(C259&lt;='Plano Diretor'!$AU$4,SUM(BB21:BF21),0)</f>
        <v>0</v>
      </c>
    </row>
    <row r="260" spans="2:4" hidden="1" x14ac:dyDescent="0.2">
      <c r="B260" s="6">
        <v>16</v>
      </c>
      <c r="C260" s="72">
        <f t="shared" si="42"/>
        <v>44151</v>
      </c>
      <c r="D260" s="6">
        <f>IF(C260&lt;='Plano Diretor'!$AU$4,SUM(BB22:BF22),0)</f>
        <v>0</v>
      </c>
    </row>
    <row r="261" spans="2:4" hidden="1" x14ac:dyDescent="0.2">
      <c r="B261" s="6">
        <v>17</v>
      </c>
      <c r="C261" s="72">
        <f t="shared" si="42"/>
        <v>44152</v>
      </c>
      <c r="D261" s="6">
        <f>IF(C261&lt;='Plano Diretor'!$AU$4,SUM(BB23:BF23),0)</f>
        <v>0</v>
      </c>
    </row>
    <row r="262" spans="2:4" hidden="1" x14ac:dyDescent="0.2">
      <c r="B262" s="6">
        <v>18</v>
      </c>
      <c r="C262" s="72">
        <f t="shared" si="42"/>
        <v>44153</v>
      </c>
      <c r="D262" s="6">
        <f>IF(C262&lt;='Plano Diretor'!$AU$4,SUM(BB24:BF24),0)</f>
        <v>0</v>
      </c>
    </row>
    <row r="263" spans="2:4" hidden="1" x14ac:dyDescent="0.2">
      <c r="B263" s="6">
        <v>19</v>
      </c>
      <c r="C263" s="72">
        <f t="shared" si="42"/>
        <v>44154</v>
      </c>
      <c r="D263" s="6">
        <f>IF(C263&lt;='Plano Diretor'!$AU$4,SUM(BB25:BF25),0)</f>
        <v>0</v>
      </c>
    </row>
    <row r="264" spans="2:4" hidden="1" x14ac:dyDescent="0.2">
      <c r="B264" s="6">
        <v>20</v>
      </c>
      <c r="C264" s="72">
        <f t="shared" si="42"/>
        <v>44155</v>
      </c>
      <c r="D264" s="6">
        <f>IF(C264&lt;='Plano Diretor'!$AU$4,SUM(BB26:BF26),0)</f>
        <v>0</v>
      </c>
    </row>
    <row r="265" spans="2:4" hidden="1" x14ac:dyDescent="0.2">
      <c r="B265" s="6">
        <v>21</v>
      </c>
      <c r="C265" s="72">
        <f t="shared" si="42"/>
        <v>44156</v>
      </c>
      <c r="D265" s="6">
        <f>IF(C265&lt;='Plano Diretor'!$AU$4,SUM(BB27:BF27),0)</f>
        <v>0</v>
      </c>
    </row>
    <row r="266" spans="2:4" hidden="1" x14ac:dyDescent="0.2">
      <c r="B266" s="6">
        <v>22</v>
      </c>
      <c r="C266" s="72">
        <f t="shared" si="42"/>
        <v>44157</v>
      </c>
      <c r="D266" s="6">
        <f>IF(C266&lt;='Plano Diretor'!$AU$4,SUM(BB28:BF28),0)</f>
        <v>0</v>
      </c>
    </row>
    <row r="267" spans="2:4" hidden="1" x14ac:dyDescent="0.2">
      <c r="B267" s="6">
        <v>23</v>
      </c>
      <c r="C267" s="72">
        <f t="shared" si="42"/>
        <v>44158</v>
      </c>
      <c r="D267" s="6">
        <f>IF(C267&lt;='Plano Diretor'!$AU$4,SUM(BB29:BF29),0)</f>
        <v>0</v>
      </c>
    </row>
    <row r="268" spans="2:4" hidden="1" x14ac:dyDescent="0.2">
      <c r="B268" s="6">
        <v>24</v>
      </c>
      <c r="C268" s="72">
        <f t="shared" si="42"/>
        <v>44159</v>
      </c>
      <c r="D268" s="6">
        <f>IF(C268&lt;='Plano Diretor'!$AU$4,SUM(BB30:BF30),0)</f>
        <v>0</v>
      </c>
    </row>
    <row r="269" spans="2:4" hidden="1" x14ac:dyDescent="0.2">
      <c r="B269" s="6">
        <v>25</v>
      </c>
      <c r="C269" s="72">
        <f t="shared" si="42"/>
        <v>44160</v>
      </c>
      <c r="D269" s="6">
        <f>IF(C269&lt;='Plano Diretor'!$AU$4,SUM(BB31:BF31),0)</f>
        <v>0</v>
      </c>
    </row>
    <row r="270" spans="2:4" hidden="1" x14ac:dyDescent="0.2">
      <c r="B270" s="6">
        <v>26</v>
      </c>
      <c r="C270" s="72">
        <f t="shared" si="42"/>
        <v>44161</v>
      </c>
      <c r="D270" s="6">
        <f>IF(C270&lt;='Plano Diretor'!$AU$4,SUM(BB32:BF32),0)</f>
        <v>0</v>
      </c>
    </row>
    <row r="271" spans="2:4" hidden="1" x14ac:dyDescent="0.2">
      <c r="B271" s="6">
        <v>27</v>
      </c>
      <c r="C271" s="72">
        <f t="shared" si="42"/>
        <v>44162</v>
      </c>
      <c r="D271" s="6">
        <f>IF(C271&lt;='Plano Diretor'!$AU$4,SUM(BB33:BF33),0)</f>
        <v>0</v>
      </c>
    </row>
    <row r="272" spans="2:4" hidden="1" x14ac:dyDescent="0.2">
      <c r="B272" s="6">
        <v>28</v>
      </c>
      <c r="C272" s="72">
        <f t="shared" si="42"/>
        <v>44163</v>
      </c>
      <c r="D272" s="6">
        <f>IF(C272&lt;='Plano Diretor'!$AU$4,SUM(BB34:BF34),0)</f>
        <v>0</v>
      </c>
    </row>
    <row r="273" spans="2:4" hidden="1" x14ac:dyDescent="0.2">
      <c r="B273" s="6">
        <v>29</v>
      </c>
      <c r="C273" s="72">
        <f t="shared" si="42"/>
        <v>44164</v>
      </c>
      <c r="D273" s="6">
        <f>IF(C273&lt;='Plano Diretor'!$AU$4,SUM(BB35:BF35),0)</f>
        <v>0</v>
      </c>
    </row>
    <row r="274" spans="2:4" hidden="1" x14ac:dyDescent="0.2">
      <c r="B274" s="6">
        <v>30</v>
      </c>
      <c r="C274" s="72">
        <f t="shared" si="42"/>
        <v>44165</v>
      </c>
      <c r="D274" s="6">
        <f>IF(C274&lt;='Plano Diretor'!$AU$4,SUM(BB36:BF36),0)</f>
        <v>0</v>
      </c>
    </row>
    <row r="275" spans="2:4" hidden="1" x14ac:dyDescent="0.2">
      <c r="B275" s="6">
        <v>31</v>
      </c>
      <c r="C275" s="72" t="str">
        <f t="shared" si="42"/>
        <v/>
      </c>
      <c r="D275" s="6">
        <f>IF(C275&lt;='Plano Diretor'!$AU$4,SUM(BB37:BF37),0)</f>
        <v>0</v>
      </c>
    </row>
    <row r="276" spans="2:4" hidden="1" x14ac:dyDescent="0.2">
      <c r="B276" s="6">
        <v>1</v>
      </c>
      <c r="C276" s="73">
        <f t="shared" ref="C276:C306" si="43">BG7</f>
        <v>44166</v>
      </c>
      <c r="D276" s="6">
        <f>IF(C276&lt;='Plano Diretor'!$AU$4,SUM(BJ7:BN7),0)</f>
        <v>0</v>
      </c>
    </row>
    <row r="277" spans="2:4" hidden="1" x14ac:dyDescent="0.2">
      <c r="B277" s="6">
        <v>2</v>
      </c>
      <c r="C277" s="73">
        <f t="shared" si="43"/>
        <v>44167</v>
      </c>
      <c r="D277" s="6">
        <f>IF(C277&lt;='Plano Diretor'!$AU$4,SUM(BJ8:BN8),0)</f>
        <v>0</v>
      </c>
    </row>
    <row r="278" spans="2:4" hidden="1" x14ac:dyDescent="0.2">
      <c r="B278" s="6">
        <v>3</v>
      </c>
      <c r="C278" s="73">
        <f t="shared" si="43"/>
        <v>44168</v>
      </c>
      <c r="D278" s="6">
        <f>IF(C278&lt;='Plano Diretor'!$AU$4,SUM(BJ9:BN9),0)</f>
        <v>0</v>
      </c>
    </row>
    <row r="279" spans="2:4" hidden="1" x14ac:dyDescent="0.2">
      <c r="B279" s="6">
        <v>4</v>
      </c>
      <c r="C279" s="73">
        <f t="shared" si="43"/>
        <v>44169</v>
      </c>
      <c r="D279" s="6">
        <f>IF(C279&lt;='Plano Diretor'!$AU$4,SUM(BJ10:BN10),0)</f>
        <v>0</v>
      </c>
    </row>
    <row r="280" spans="2:4" hidden="1" x14ac:dyDescent="0.2">
      <c r="B280" s="6">
        <v>5</v>
      </c>
      <c r="C280" s="73">
        <f t="shared" si="43"/>
        <v>44170</v>
      </c>
      <c r="D280" s="6">
        <f>IF(C280&lt;='Plano Diretor'!$AU$4,SUM(BJ11:BN11),0)</f>
        <v>0</v>
      </c>
    </row>
    <row r="281" spans="2:4" hidden="1" x14ac:dyDescent="0.2">
      <c r="B281" s="6">
        <v>6</v>
      </c>
      <c r="C281" s="73">
        <f t="shared" si="43"/>
        <v>44171</v>
      </c>
      <c r="D281" s="6">
        <f>IF(C281&lt;='Plano Diretor'!$AU$4,SUM(BJ12:BN12),0)</f>
        <v>0</v>
      </c>
    </row>
    <row r="282" spans="2:4" hidden="1" x14ac:dyDescent="0.2">
      <c r="B282" s="6">
        <v>7</v>
      </c>
      <c r="C282" s="73">
        <f t="shared" si="43"/>
        <v>44172</v>
      </c>
      <c r="D282" s="6">
        <f>IF(C282&lt;='Plano Diretor'!$AU$4,SUM(BJ13:BN13),0)</f>
        <v>0</v>
      </c>
    </row>
    <row r="283" spans="2:4" hidden="1" x14ac:dyDescent="0.2">
      <c r="B283" s="6">
        <v>8</v>
      </c>
      <c r="C283" s="73">
        <f t="shared" si="43"/>
        <v>44173</v>
      </c>
      <c r="D283" s="6">
        <f>IF(C283&lt;='Plano Diretor'!$AU$4,SUM(BJ14:BN14),0)</f>
        <v>0</v>
      </c>
    </row>
    <row r="284" spans="2:4" hidden="1" x14ac:dyDescent="0.2">
      <c r="B284" s="6">
        <v>9</v>
      </c>
      <c r="C284" s="73">
        <f t="shared" si="43"/>
        <v>44174</v>
      </c>
      <c r="D284" s="6">
        <f>IF(C284&lt;='Plano Diretor'!$AU$4,SUM(BJ15:BN15),0)</f>
        <v>0</v>
      </c>
    </row>
    <row r="285" spans="2:4" hidden="1" x14ac:dyDescent="0.2">
      <c r="B285" s="6">
        <v>10</v>
      </c>
      <c r="C285" s="73">
        <f t="shared" si="43"/>
        <v>44175</v>
      </c>
      <c r="D285" s="6">
        <f>IF(C285&lt;='Plano Diretor'!$AU$4,SUM(BJ16:BN16),0)</f>
        <v>0</v>
      </c>
    </row>
    <row r="286" spans="2:4" hidden="1" x14ac:dyDescent="0.2">
      <c r="B286" s="6">
        <v>11</v>
      </c>
      <c r="C286" s="73">
        <f t="shared" si="43"/>
        <v>44176</v>
      </c>
      <c r="D286" s="6">
        <f>IF(C286&lt;='Plano Diretor'!$AU$4,SUM(BJ17:BN17),0)</f>
        <v>0</v>
      </c>
    </row>
    <row r="287" spans="2:4" hidden="1" x14ac:dyDescent="0.2">
      <c r="B287" s="6">
        <v>12</v>
      </c>
      <c r="C287" s="73">
        <f t="shared" si="43"/>
        <v>44177</v>
      </c>
      <c r="D287" s="6">
        <f>IF(C287&lt;='Plano Diretor'!$AU$4,SUM(BJ18:BN18),0)</f>
        <v>0</v>
      </c>
    </row>
    <row r="288" spans="2:4" hidden="1" x14ac:dyDescent="0.2">
      <c r="B288" s="6">
        <v>13</v>
      </c>
      <c r="C288" s="73">
        <f t="shared" si="43"/>
        <v>44178</v>
      </c>
      <c r="D288" s="6">
        <f>IF(C288&lt;='Plano Diretor'!$AU$4,SUM(BJ19:BN19),0)</f>
        <v>0</v>
      </c>
    </row>
    <row r="289" spans="2:4" hidden="1" x14ac:dyDescent="0.2">
      <c r="B289" s="6">
        <v>14</v>
      </c>
      <c r="C289" s="73">
        <f t="shared" si="43"/>
        <v>44179</v>
      </c>
      <c r="D289" s="6">
        <f>IF(C289&lt;='Plano Diretor'!$AU$4,SUM(BJ20:BN20),0)</f>
        <v>0</v>
      </c>
    </row>
    <row r="290" spans="2:4" hidden="1" x14ac:dyDescent="0.2">
      <c r="B290" s="6">
        <v>15</v>
      </c>
      <c r="C290" s="73">
        <f t="shared" si="43"/>
        <v>44180</v>
      </c>
      <c r="D290" s="6">
        <f>IF(C290&lt;='Plano Diretor'!$AU$4,SUM(BJ21:BN21),0)</f>
        <v>0</v>
      </c>
    </row>
    <row r="291" spans="2:4" hidden="1" x14ac:dyDescent="0.2">
      <c r="B291" s="6">
        <v>16</v>
      </c>
      <c r="C291" s="73">
        <f t="shared" si="43"/>
        <v>44181</v>
      </c>
      <c r="D291" s="6">
        <f>IF(C291&lt;='Plano Diretor'!$AU$4,SUM(BJ22:BN22),0)</f>
        <v>0</v>
      </c>
    </row>
    <row r="292" spans="2:4" hidden="1" x14ac:dyDescent="0.2">
      <c r="B292" s="6">
        <v>17</v>
      </c>
      <c r="C292" s="73">
        <f t="shared" si="43"/>
        <v>44182</v>
      </c>
      <c r="D292" s="6">
        <f>IF(C292&lt;='Plano Diretor'!$AU$4,SUM(BJ23:BN23),0)</f>
        <v>0</v>
      </c>
    </row>
    <row r="293" spans="2:4" hidden="1" x14ac:dyDescent="0.2">
      <c r="B293" s="6">
        <v>18</v>
      </c>
      <c r="C293" s="73">
        <f t="shared" si="43"/>
        <v>44183</v>
      </c>
      <c r="D293" s="6">
        <f>IF(C293&lt;='Plano Diretor'!$AU$4,SUM(BJ24:BN24),0)</f>
        <v>0</v>
      </c>
    </row>
    <row r="294" spans="2:4" hidden="1" x14ac:dyDescent="0.2">
      <c r="B294" s="6">
        <v>19</v>
      </c>
      <c r="C294" s="73">
        <f t="shared" si="43"/>
        <v>44184</v>
      </c>
      <c r="D294" s="6">
        <f>IF(C294&lt;='Plano Diretor'!$AU$4,SUM(BJ25:BN25),0)</f>
        <v>0</v>
      </c>
    </row>
    <row r="295" spans="2:4" hidden="1" x14ac:dyDescent="0.2">
      <c r="B295" s="6">
        <v>20</v>
      </c>
      <c r="C295" s="73">
        <f t="shared" si="43"/>
        <v>44185</v>
      </c>
      <c r="D295" s="6">
        <f>IF(C295&lt;='Plano Diretor'!$AU$4,SUM(BJ26:BN26),0)</f>
        <v>0</v>
      </c>
    </row>
    <row r="296" spans="2:4" hidden="1" x14ac:dyDescent="0.2">
      <c r="B296" s="6">
        <v>21</v>
      </c>
      <c r="C296" s="73">
        <f t="shared" si="43"/>
        <v>44186</v>
      </c>
      <c r="D296" s="6">
        <f>IF(C296&lt;='Plano Diretor'!$AU$4,SUM(BJ27:BN27),0)</f>
        <v>0</v>
      </c>
    </row>
    <row r="297" spans="2:4" hidden="1" x14ac:dyDescent="0.2">
      <c r="B297" s="6">
        <v>22</v>
      </c>
      <c r="C297" s="73">
        <f t="shared" si="43"/>
        <v>44187</v>
      </c>
      <c r="D297" s="6">
        <f>IF(C297&lt;='Plano Diretor'!$AU$4,SUM(BJ28:BN28),0)</f>
        <v>0</v>
      </c>
    </row>
    <row r="298" spans="2:4" hidden="1" x14ac:dyDescent="0.2">
      <c r="B298" s="6">
        <v>23</v>
      </c>
      <c r="C298" s="73">
        <f t="shared" si="43"/>
        <v>44188</v>
      </c>
      <c r="D298" s="6">
        <f>IF(C298&lt;='Plano Diretor'!$AU$4,SUM(BJ29:BN29),0)</f>
        <v>0</v>
      </c>
    </row>
    <row r="299" spans="2:4" hidden="1" x14ac:dyDescent="0.2">
      <c r="B299" s="6">
        <v>24</v>
      </c>
      <c r="C299" s="73">
        <f t="shared" si="43"/>
        <v>44189</v>
      </c>
      <c r="D299" s="6">
        <f>IF(C299&lt;='Plano Diretor'!$AU$4,SUM(BJ30:BN30),0)</f>
        <v>0</v>
      </c>
    </row>
    <row r="300" spans="2:4" hidden="1" x14ac:dyDescent="0.2">
      <c r="B300" s="6">
        <v>25</v>
      </c>
      <c r="C300" s="73">
        <f t="shared" si="43"/>
        <v>44190</v>
      </c>
      <c r="D300" s="6">
        <f>IF(C300&lt;='Plano Diretor'!$AU$4,SUM(BJ31:BN31),0)</f>
        <v>0</v>
      </c>
    </row>
    <row r="301" spans="2:4" hidden="1" x14ac:dyDescent="0.2">
      <c r="B301" s="6">
        <v>26</v>
      </c>
      <c r="C301" s="73">
        <f t="shared" si="43"/>
        <v>44191</v>
      </c>
      <c r="D301" s="6">
        <f>IF(C301&lt;='Plano Diretor'!$AU$4,SUM(BJ32:BN32),0)</f>
        <v>0</v>
      </c>
    </row>
    <row r="302" spans="2:4" hidden="1" x14ac:dyDescent="0.2">
      <c r="B302" s="6">
        <v>27</v>
      </c>
      <c r="C302" s="73">
        <f t="shared" si="43"/>
        <v>44192</v>
      </c>
      <c r="D302" s="6">
        <f>IF(C302&lt;='Plano Diretor'!$AU$4,SUM(BJ33:BN33),0)</f>
        <v>0</v>
      </c>
    </row>
    <row r="303" spans="2:4" hidden="1" x14ac:dyDescent="0.2">
      <c r="B303" s="6">
        <v>28</v>
      </c>
      <c r="C303" s="73">
        <f t="shared" si="43"/>
        <v>44193</v>
      </c>
      <c r="D303" s="6">
        <f>IF(C303&lt;='Plano Diretor'!$AU$4,SUM(BJ34:BN34),0)</f>
        <v>0</v>
      </c>
    </row>
    <row r="304" spans="2:4" hidden="1" x14ac:dyDescent="0.2">
      <c r="B304" s="6">
        <v>29</v>
      </c>
      <c r="C304" s="73">
        <f t="shared" si="43"/>
        <v>44194</v>
      </c>
      <c r="D304" s="6">
        <f>IF(C304&lt;='Plano Diretor'!$AU$4,SUM(BJ35:BN35),0)</f>
        <v>0</v>
      </c>
    </row>
    <row r="305" spans="2:4" hidden="1" x14ac:dyDescent="0.2">
      <c r="B305" s="6">
        <v>30</v>
      </c>
      <c r="C305" s="73">
        <f t="shared" si="43"/>
        <v>44195</v>
      </c>
      <c r="D305" s="6">
        <f>IF(C305&lt;='Plano Diretor'!$AU$4,SUM(BJ36:BN36),0)</f>
        <v>0</v>
      </c>
    </row>
    <row r="306" spans="2:4" hidden="1" x14ac:dyDescent="0.2">
      <c r="B306" s="6">
        <v>31</v>
      </c>
      <c r="C306" s="73">
        <f t="shared" si="43"/>
        <v>44196</v>
      </c>
      <c r="D306" s="6">
        <f>IF(C306&lt;='Plano Diretor'!$AU$4,SUM(BJ37:BN37),0)</f>
        <v>0</v>
      </c>
    </row>
    <row r="307" spans="2:4" hidden="1" x14ac:dyDescent="0.2">
      <c r="B307" s="6">
        <v>1</v>
      </c>
      <c r="C307" s="73">
        <f t="shared" ref="C307:C337" si="44">BO7</f>
        <v>44256</v>
      </c>
      <c r="D307" s="6">
        <f>IF(C307&lt;='Plano Diretor'!$AU$4,SUM(BR7:BV7),0)</f>
        <v>0</v>
      </c>
    </row>
    <row r="308" spans="2:4" hidden="1" x14ac:dyDescent="0.2">
      <c r="B308" s="6">
        <v>2</v>
      </c>
      <c r="C308" s="73">
        <f t="shared" si="44"/>
        <v>44257</v>
      </c>
      <c r="D308" s="6">
        <f>IF(C308&lt;='Plano Diretor'!$AU$4,SUM(BR8:BV8),0)</f>
        <v>0</v>
      </c>
    </row>
    <row r="309" spans="2:4" hidden="1" x14ac:dyDescent="0.2">
      <c r="B309" s="6">
        <v>3</v>
      </c>
      <c r="C309" s="73">
        <f t="shared" si="44"/>
        <v>44258</v>
      </c>
      <c r="D309" s="6">
        <f>IF(C309&lt;='Plano Diretor'!$AU$4,SUM(BR9:BV9),0)</f>
        <v>0</v>
      </c>
    </row>
    <row r="310" spans="2:4" hidden="1" x14ac:dyDescent="0.2">
      <c r="B310" s="6">
        <v>4</v>
      </c>
      <c r="C310" s="73">
        <f t="shared" si="44"/>
        <v>44259</v>
      </c>
      <c r="D310" s="6">
        <f>IF(C310&lt;='Plano Diretor'!$AU$4,SUM(BR10:BV10),0)</f>
        <v>0</v>
      </c>
    </row>
    <row r="311" spans="2:4" hidden="1" x14ac:dyDescent="0.2">
      <c r="B311" s="6">
        <v>5</v>
      </c>
      <c r="C311" s="73">
        <f t="shared" si="44"/>
        <v>44260</v>
      </c>
      <c r="D311" s="6">
        <f>IF(C311&lt;='Plano Diretor'!$AU$4,SUM(BR11:BV11),0)</f>
        <v>0</v>
      </c>
    </row>
    <row r="312" spans="2:4" hidden="1" x14ac:dyDescent="0.2">
      <c r="B312" s="6">
        <v>6</v>
      </c>
      <c r="C312" s="73">
        <f t="shared" si="44"/>
        <v>44261</v>
      </c>
      <c r="D312" s="6">
        <f>IF(C312&lt;='Plano Diretor'!$AU$4,SUM(BR12:BV12),0)</f>
        <v>0</v>
      </c>
    </row>
    <row r="313" spans="2:4" hidden="1" x14ac:dyDescent="0.2">
      <c r="B313" s="6">
        <v>7</v>
      </c>
      <c r="C313" s="73">
        <f t="shared" si="44"/>
        <v>44262</v>
      </c>
      <c r="D313" s="6">
        <f>IF(C313&lt;='Plano Diretor'!$AU$4,SUM(BR13:BV13),0)</f>
        <v>0</v>
      </c>
    </row>
    <row r="314" spans="2:4" hidden="1" x14ac:dyDescent="0.2">
      <c r="B314" s="6">
        <v>8</v>
      </c>
      <c r="C314" s="73">
        <f t="shared" si="44"/>
        <v>44263</v>
      </c>
      <c r="D314" s="6">
        <f>IF(C314&lt;='Plano Diretor'!$AU$4,SUM(BR14:BV14),0)</f>
        <v>0</v>
      </c>
    </row>
    <row r="315" spans="2:4" hidden="1" x14ac:dyDescent="0.2">
      <c r="B315" s="6">
        <v>9</v>
      </c>
      <c r="C315" s="73">
        <f t="shared" si="44"/>
        <v>44264</v>
      </c>
      <c r="D315" s="6">
        <f>IF(C315&lt;='Plano Diretor'!$AU$4,SUM(BR15:BV15),0)</f>
        <v>0</v>
      </c>
    </row>
    <row r="316" spans="2:4" hidden="1" x14ac:dyDescent="0.2">
      <c r="B316" s="6">
        <v>10</v>
      </c>
      <c r="C316" s="73">
        <f t="shared" si="44"/>
        <v>44265</v>
      </c>
      <c r="D316" s="6">
        <f>IF(C316&lt;='Plano Diretor'!$AU$4,SUM(BR16:BV16),0)</f>
        <v>0</v>
      </c>
    </row>
    <row r="317" spans="2:4" hidden="1" x14ac:dyDescent="0.2">
      <c r="B317" s="6">
        <v>11</v>
      </c>
      <c r="C317" s="73">
        <f t="shared" si="44"/>
        <v>44266</v>
      </c>
      <c r="D317" s="6">
        <f>IF(C317&lt;='Plano Diretor'!$AU$4,SUM(BR17:BV17),0)</f>
        <v>0</v>
      </c>
    </row>
    <row r="318" spans="2:4" hidden="1" x14ac:dyDescent="0.2">
      <c r="B318" s="6">
        <v>12</v>
      </c>
      <c r="C318" s="73">
        <f t="shared" si="44"/>
        <v>44267</v>
      </c>
      <c r="D318" s="6">
        <f>IF(C318&lt;='Plano Diretor'!$AU$4,SUM(BR18:BV18),0)</f>
        <v>0</v>
      </c>
    </row>
    <row r="319" spans="2:4" hidden="1" x14ac:dyDescent="0.2">
      <c r="B319" s="6">
        <v>13</v>
      </c>
      <c r="C319" s="73">
        <f t="shared" si="44"/>
        <v>44268</v>
      </c>
      <c r="D319" s="6">
        <f>IF(C319&lt;='Plano Diretor'!$AU$4,SUM(BR19:BV19),0)</f>
        <v>0</v>
      </c>
    </row>
    <row r="320" spans="2:4" hidden="1" x14ac:dyDescent="0.2">
      <c r="B320" s="6">
        <v>14</v>
      </c>
      <c r="C320" s="73">
        <f t="shared" si="44"/>
        <v>44269</v>
      </c>
      <c r="D320" s="6">
        <f>IF(C320&lt;='Plano Diretor'!$AU$4,SUM(BR20:BV20),0)</f>
        <v>0</v>
      </c>
    </row>
    <row r="321" spans="2:4" hidden="1" x14ac:dyDescent="0.2">
      <c r="B321" s="6">
        <v>15</v>
      </c>
      <c r="C321" s="73">
        <f t="shared" si="44"/>
        <v>44270</v>
      </c>
      <c r="D321" s="6">
        <f>IF(C321&lt;='Plano Diretor'!$AU$4,SUM(BR21:BV21),0)</f>
        <v>0</v>
      </c>
    </row>
    <row r="322" spans="2:4" hidden="1" x14ac:dyDescent="0.2">
      <c r="B322" s="6">
        <v>16</v>
      </c>
      <c r="C322" s="73">
        <f t="shared" si="44"/>
        <v>44271</v>
      </c>
      <c r="D322" s="6">
        <f>IF(C322&lt;='Plano Diretor'!$AU$4,SUM(BR22:BV22),0)</f>
        <v>0</v>
      </c>
    </row>
    <row r="323" spans="2:4" hidden="1" x14ac:dyDescent="0.2">
      <c r="B323" s="6">
        <v>17</v>
      </c>
      <c r="C323" s="73">
        <f t="shared" si="44"/>
        <v>44272</v>
      </c>
      <c r="D323" s="6">
        <f>IF(C323&lt;='Plano Diretor'!$AU$4,SUM(BR23:BV23),0)</f>
        <v>0</v>
      </c>
    </row>
    <row r="324" spans="2:4" hidden="1" x14ac:dyDescent="0.2">
      <c r="B324" s="6">
        <v>18</v>
      </c>
      <c r="C324" s="73">
        <f t="shared" si="44"/>
        <v>44273</v>
      </c>
      <c r="D324" s="6">
        <f>IF(C324&lt;='Plano Diretor'!$AU$4,SUM(BR24:BV24),0)</f>
        <v>0</v>
      </c>
    </row>
    <row r="325" spans="2:4" hidden="1" x14ac:dyDescent="0.2">
      <c r="B325" s="6">
        <v>19</v>
      </c>
      <c r="C325" s="73">
        <f t="shared" si="44"/>
        <v>44274</v>
      </c>
      <c r="D325" s="6">
        <f>IF(C325&lt;='Plano Diretor'!$AU$4,SUM(BR25:BV25),0)</f>
        <v>0</v>
      </c>
    </row>
    <row r="326" spans="2:4" hidden="1" x14ac:dyDescent="0.2">
      <c r="B326" s="6">
        <v>20</v>
      </c>
      <c r="C326" s="73">
        <f t="shared" si="44"/>
        <v>44275</v>
      </c>
      <c r="D326" s="6">
        <f>IF(C326&lt;='Plano Diretor'!$AU$4,SUM(BR26:BV26),0)</f>
        <v>0</v>
      </c>
    </row>
    <row r="327" spans="2:4" hidden="1" x14ac:dyDescent="0.2">
      <c r="B327" s="6">
        <v>21</v>
      </c>
      <c r="C327" s="73">
        <f t="shared" si="44"/>
        <v>44276</v>
      </c>
      <c r="D327" s="6">
        <f>IF(C327&lt;='Plano Diretor'!$AU$4,SUM(BR27:BV27),0)</f>
        <v>0</v>
      </c>
    </row>
    <row r="328" spans="2:4" hidden="1" x14ac:dyDescent="0.2">
      <c r="B328" s="6">
        <v>22</v>
      </c>
      <c r="C328" s="73">
        <f t="shared" si="44"/>
        <v>44277</v>
      </c>
      <c r="D328" s="6">
        <f>IF(C328&lt;='Plano Diretor'!$AU$4,SUM(BR28:BV28),0)</f>
        <v>0</v>
      </c>
    </row>
    <row r="329" spans="2:4" hidden="1" x14ac:dyDescent="0.2">
      <c r="B329" s="6">
        <v>23</v>
      </c>
      <c r="C329" s="73">
        <f t="shared" si="44"/>
        <v>44278</v>
      </c>
      <c r="D329" s="6">
        <f>IF(C329&lt;='Plano Diretor'!$AU$4,SUM(BR29:BV29),0)</f>
        <v>0</v>
      </c>
    </row>
    <row r="330" spans="2:4" hidden="1" x14ac:dyDescent="0.2">
      <c r="B330" s="6">
        <v>24</v>
      </c>
      <c r="C330" s="73">
        <f t="shared" si="44"/>
        <v>44279</v>
      </c>
      <c r="D330" s="6">
        <f>IF(C330&lt;='Plano Diretor'!$AU$4,SUM(BR30:BV30),0)</f>
        <v>0</v>
      </c>
    </row>
    <row r="331" spans="2:4" hidden="1" x14ac:dyDescent="0.2">
      <c r="B331" s="6">
        <v>25</v>
      </c>
      <c r="C331" s="73">
        <f t="shared" si="44"/>
        <v>44280</v>
      </c>
      <c r="D331" s="6">
        <f>IF(C331&lt;='Plano Diretor'!$AU$4,SUM(BR31:BV31),0)</f>
        <v>0</v>
      </c>
    </row>
    <row r="332" spans="2:4" hidden="1" x14ac:dyDescent="0.2">
      <c r="B332" s="6">
        <v>26</v>
      </c>
      <c r="C332" s="73">
        <f t="shared" si="44"/>
        <v>44281</v>
      </c>
      <c r="D332" s="6">
        <f>IF(C332&lt;='Plano Diretor'!$AU$4,SUM(BR32:BV32),0)</f>
        <v>0</v>
      </c>
    </row>
    <row r="333" spans="2:4" hidden="1" x14ac:dyDescent="0.2">
      <c r="B333" s="6">
        <v>27</v>
      </c>
      <c r="C333" s="73">
        <f t="shared" si="44"/>
        <v>44282</v>
      </c>
      <c r="D333" s="6">
        <f>IF(C333&lt;='Plano Diretor'!$AU$4,SUM(BR33:BV33),0)</f>
        <v>0</v>
      </c>
    </row>
    <row r="334" spans="2:4" hidden="1" x14ac:dyDescent="0.2">
      <c r="B334" s="6">
        <v>28</v>
      </c>
      <c r="C334" s="73">
        <f t="shared" si="44"/>
        <v>44283</v>
      </c>
      <c r="D334" s="6">
        <f>IF(C334&lt;='Plano Diretor'!$AU$4,SUM(BR34:BV34),0)</f>
        <v>0</v>
      </c>
    </row>
    <row r="335" spans="2:4" hidden="1" x14ac:dyDescent="0.2">
      <c r="B335" s="6">
        <v>29</v>
      </c>
      <c r="C335" s="73">
        <f t="shared" si="44"/>
        <v>44284</v>
      </c>
      <c r="D335" s="6">
        <f>IF(C335&lt;='Plano Diretor'!$AU$4,SUM(BR35:BV35),0)</f>
        <v>0</v>
      </c>
    </row>
    <row r="336" spans="2:4" hidden="1" x14ac:dyDescent="0.2">
      <c r="B336" s="6">
        <v>30</v>
      </c>
      <c r="C336" s="73">
        <f t="shared" si="44"/>
        <v>44285</v>
      </c>
      <c r="D336" s="6">
        <f>IF(C336&lt;='Plano Diretor'!$AU$4,SUM(BR36:BV36),0)</f>
        <v>0</v>
      </c>
    </row>
    <row r="337" spans="2:4" hidden="1" x14ac:dyDescent="0.2">
      <c r="B337" s="6">
        <v>31</v>
      </c>
      <c r="C337" s="73">
        <f t="shared" si="44"/>
        <v>44286</v>
      </c>
      <c r="D337" s="6">
        <f>IF(C337&lt;='Plano Diretor'!$AU$4,SUM(BR37:BV37),0)</f>
        <v>0</v>
      </c>
    </row>
    <row r="338" spans="2:4" hidden="1" x14ac:dyDescent="0.2">
      <c r="B338" s="6">
        <v>1</v>
      </c>
      <c r="C338" s="73">
        <f t="shared" ref="C338:C368" si="45">BW7</f>
        <v>44378</v>
      </c>
      <c r="D338" s="6">
        <f>IF(C338&lt;='Plano Diretor'!$AU$4,SUM(BZ7:CD7),0)</f>
        <v>0</v>
      </c>
    </row>
    <row r="339" spans="2:4" hidden="1" x14ac:dyDescent="0.2">
      <c r="B339" s="6">
        <v>2</v>
      </c>
      <c r="C339" s="73">
        <f t="shared" si="45"/>
        <v>44379</v>
      </c>
      <c r="D339" s="6">
        <f>IF(C339&lt;='Plano Diretor'!$AU$4,SUM(BZ8:CD8),0)</f>
        <v>0</v>
      </c>
    </row>
    <row r="340" spans="2:4" hidden="1" x14ac:dyDescent="0.2">
      <c r="B340" s="6">
        <v>3</v>
      </c>
      <c r="C340" s="73">
        <f t="shared" si="45"/>
        <v>44380</v>
      </c>
      <c r="D340" s="6">
        <f>IF(C340&lt;='Plano Diretor'!$AU$4,SUM(BZ9:CD9),0)</f>
        <v>0</v>
      </c>
    </row>
    <row r="341" spans="2:4" hidden="1" x14ac:dyDescent="0.2">
      <c r="B341" s="6">
        <v>4</v>
      </c>
      <c r="C341" s="73">
        <f t="shared" si="45"/>
        <v>44381</v>
      </c>
      <c r="D341" s="6">
        <f>IF(C341&lt;='Plano Diretor'!$AU$4,SUM(BZ10:CD10),0)</f>
        <v>0</v>
      </c>
    </row>
    <row r="342" spans="2:4" hidden="1" x14ac:dyDescent="0.2">
      <c r="B342" s="6">
        <v>5</v>
      </c>
      <c r="C342" s="73">
        <f t="shared" si="45"/>
        <v>44382</v>
      </c>
      <c r="D342" s="6">
        <f>IF(C342&lt;='Plano Diretor'!$AU$4,SUM(BZ11:CD11),0)</f>
        <v>0</v>
      </c>
    </row>
    <row r="343" spans="2:4" hidden="1" x14ac:dyDescent="0.2">
      <c r="B343" s="6">
        <v>6</v>
      </c>
      <c r="C343" s="73">
        <f t="shared" si="45"/>
        <v>44383</v>
      </c>
      <c r="D343" s="6">
        <f>IF(C343&lt;='Plano Diretor'!$AU$4,SUM(BZ12:CD12),0)</f>
        <v>0</v>
      </c>
    </row>
    <row r="344" spans="2:4" hidden="1" x14ac:dyDescent="0.2">
      <c r="B344" s="6">
        <v>7</v>
      </c>
      <c r="C344" s="73">
        <f t="shared" si="45"/>
        <v>44384</v>
      </c>
      <c r="D344" s="6">
        <f>IF(C344&lt;='Plano Diretor'!$AU$4,SUM(BZ13:CD13),0)</f>
        <v>0</v>
      </c>
    </row>
    <row r="345" spans="2:4" hidden="1" x14ac:dyDescent="0.2">
      <c r="B345" s="6">
        <v>8</v>
      </c>
      <c r="C345" s="73">
        <f t="shared" si="45"/>
        <v>44385</v>
      </c>
      <c r="D345" s="6">
        <f>IF(C345&lt;='Plano Diretor'!$AU$4,SUM(BZ14:CD14),0)</f>
        <v>0</v>
      </c>
    </row>
    <row r="346" spans="2:4" hidden="1" x14ac:dyDescent="0.2">
      <c r="B346" s="6">
        <v>9</v>
      </c>
      <c r="C346" s="73">
        <f t="shared" si="45"/>
        <v>44386</v>
      </c>
      <c r="D346" s="6">
        <f>IF(C346&lt;='Plano Diretor'!$AU$4,SUM(BZ15:CD15),0)</f>
        <v>0</v>
      </c>
    </row>
    <row r="347" spans="2:4" hidden="1" x14ac:dyDescent="0.2">
      <c r="B347" s="6">
        <v>10</v>
      </c>
      <c r="C347" s="73">
        <f t="shared" si="45"/>
        <v>44387</v>
      </c>
      <c r="D347" s="6">
        <f>IF(C347&lt;='Plano Diretor'!$AU$4,SUM(BZ16:CD16),0)</f>
        <v>0</v>
      </c>
    </row>
    <row r="348" spans="2:4" hidden="1" x14ac:dyDescent="0.2">
      <c r="B348" s="6">
        <v>11</v>
      </c>
      <c r="C348" s="73">
        <f t="shared" si="45"/>
        <v>44388</v>
      </c>
      <c r="D348" s="6">
        <f>IF(C348&lt;='Plano Diretor'!$AU$4,SUM(BZ17:CD17),0)</f>
        <v>0</v>
      </c>
    </row>
    <row r="349" spans="2:4" hidden="1" x14ac:dyDescent="0.2">
      <c r="B349" s="6">
        <v>12</v>
      </c>
      <c r="C349" s="73">
        <f t="shared" si="45"/>
        <v>44389</v>
      </c>
      <c r="D349" s="6">
        <f>IF(C349&lt;='Plano Diretor'!$AU$4,SUM(BZ18:CD18),0)</f>
        <v>0</v>
      </c>
    </row>
    <row r="350" spans="2:4" hidden="1" x14ac:dyDescent="0.2">
      <c r="B350" s="6">
        <v>13</v>
      </c>
      <c r="C350" s="73">
        <f t="shared" si="45"/>
        <v>44390</v>
      </c>
      <c r="D350" s="6">
        <f>IF(C350&lt;='Plano Diretor'!$AU$4,SUM(BZ19:CD19),0)</f>
        <v>0</v>
      </c>
    </row>
    <row r="351" spans="2:4" hidden="1" x14ac:dyDescent="0.2">
      <c r="B351" s="6">
        <v>14</v>
      </c>
      <c r="C351" s="73">
        <f t="shared" si="45"/>
        <v>44391</v>
      </c>
      <c r="D351" s="6">
        <f>IF(C351&lt;='Plano Diretor'!$AU$4,SUM(BZ20:CD20),0)</f>
        <v>0</v>
      </c>
    </row>
    <row r="352" spans="2:4" hidden="1" x14ac:dyDescent="0.2">
      <c r="B352" s="6">
        <v>15</v>
      </c>
      <c r="C352" s="73">
        <f t="shared" si="45"/>
        <v>44392</v>
      </c>
      <c r="D352" s="6">
        <f>IF(C352&lt;='Plano Diretor'!$AU$4,SUM(BZ21:CD21),0)</f>
        <v>0</v>
      </c>
    </row>
    <row r="353" spans="2:4" hidden="1" x14ac:dyDescent="0.2">
      <c r="B353" s="6">
        <v>16</v>
      </c>
      <c r="C353" s="73">
        <f t="shared" si="45"/>
        <v>44393</v>
      </c>
      <c r="D353" s="6">
        <f>IF(C353&lt;='Plano Diretor'!$AU$4,SUM(BZ22:CD22),0)</f>
        <v>0</v>
      </c>
    </row>
    <row r="354" spans="2:4" hidden="1" x14ac:dyDescent="0.2">
      <c r="B354" s="6">
        <v>17</v>
      </c>
      <c r="C354" s="73">
        <f t="shared" si="45"/>
        <v>44394</v>
      </c>
      <c r="D354" s="6">
        <f>IF(C354&lt;='Plano Diretor'!$AU$4,SUM(BZ23:CD23),0)</f>
        <v>0</v>
      </c>
    </row>
    <row r="355" spans="2:4" hidden="1" x14ac:dyDescent="0.2">
      <c r="B355" s="6">
        <v>18</v>
      </c>
      <c r="C355" s="73">
        <f t="shared" si="45"/>
        <v>44395</v>
      </c>
      <c r="D355" s="6">
        <f>IF(C355&lt;='Plano Diretor'!$AU$4,SUM(BZ24:CD24),0)</f>
        <v>0</v>
      </c>
    </row>
    <row r="356" spans="2:4" hidden="1" x14ac:dyDescent="0.2">
      <c r="B356" s="6">
        <v>19</v>
      </c>
      <c r="C356" s="73">
        <f t="shared" si="45"/>
        <v>44396</v>
      </c>
      <c r="D356" s="6">
        <f>IF(C356&lt;='Plano Diretor'!$AU$4,SUM(BZ25:CD25),0)</f>
        <v>0</v>
      </c>
    </row>
    <row r="357" spans="2:4" hidden="1" x14ac:dyDescent="0.2">
      <c r="B357" s="6">
        <v>20</v>
      </c>
      <c r="C357" s="73">
        <f t="shared" si="45"/>
        <v>44397</v>
      </c>
      <c r="D357" s="6">
        <f>IF(C357&lt;='Plano Diretor'!$AU$4,SUM(BZ26:CD26),0)</f>
        <v>0</v>
      </c>
    </row>
    <row r="358" spans="2:4" hidden="1" x14ac:dyDescent="0.2">
      <c r="B358" s="6">
        <v>21</v>
      </c>
      <c r="C358" s="73">
        <f t="shared" si="45"/>
        <v>44398</v>
      </c>
      <c r="D358" s="6">
        <f>IF(C358&lt;='Plano Diretor'!$AU$4,SUM(BZ27:CD27),0)</f>
        <v>0</v>
      </c>
    </row>
    <row r="359" spans="2:4" hidden="1" x14ac:dyDescent="0.2">
      <c r="B359" s="6">
        <v>22</v>
      </c>
      <c r="C359" s="73">
        <f t="shared" si="45"/>
        <v>44399</v>
      </c>
      <c r="D359" s="6">
        <f>IF(C359&lt;='Plano Diretor'!$AU$4,SUM(BZ28:CD28),0)</f>
        <v>0</v>
      </c>
    </row>
    <row r="360" spans="2:4" hidden="1" x14ac:dyDescent="0.2">
      <c r="B360" s="6">
        <v>23</v>
      </c>
      <c r="C360" s="73">
        <f t="shared" si="45"/>
        <v>44400</v>
      </c>
      <c r="D360" s="6">
        <f>IF(C360&lt;='Plano Diretor'!$AU$4,SUM(BZ29:CD29),0)</f>
        <v>0</v>
      </c>
    </row>
    <row r="361" spans="2:4" hidden="1" x14ac:dyDescent="0.2">
      <c r="B361" s="6">
        <v>24</v>
      </c>
      <c r="C361" s="73">
        <f t="shared" si="45"/>
        <v>44401</v>
      </c>
      <c r="D361" s="6">
        <f>IF(C361&lt;='Plano Diretor'!$AU$4,SUM(BZ30:CD30),0)</f>
        <v>0</v>
      </c>
    </row>
    <row r="362" spans="2:4" hidden="1" x14ac:dyDescent="0.2">
      <c r="B362" s="6">
        <v>25</v>
      </c>
      <c r="C362" s="73">
        <f t="shared" si="45"/>
        <v>44402</v>
      </c>
      <c r="D362" s="6">
        <f>IF(C362&lt;='Plano Diretor'!$AU$4,SUM(BZ31:CD31),0)</f>
        <v>0</v>
      </c>
    </row>
    <row r="363" spans="2:4" hidden="1" x14ac:dyDescent="0.2">
      <c r="B363" s="6">
        <v>26</v>
      </c>
      <c r="C363" s="73">
        <f t="shared" si="45"/>
        <v>44403</v>
      </c>
      <c r="D363" s="6">
        <f>IF(C363&lt;='Plano Diretor'!$AU$4,SUM(BZ32:CD32),0)</f>
        <v>0</v>
      </c>
    </row>
    <row r="364" spans="2:4" hidden="1" x14ac:dyDescent="0.2">
      <c r="B364" s="6">
        <v>27</v>
      </c>
      <c r="C364" s="73">
        <f t="shared" si="45"/>
        <v>44404</v>
      </c>
      <c r="D364" s="6">
        <f>IF(C364&lt;='Plano Diretor'!$AU$4,SUM(BZ33:CD33),0)</f>
        <v>0</v>
      </c>
    </row>
    <row r="365" spans="2:4" hidden="1" x14ac:dyDescent="0.2">
      <c r="B365" s="6">
        <v>28</v>
      </c>
      <c r="C365" s="73">
        <f t="shared" si="45"/>
        <v>44405</v>
      </c>
      <c r="D365" s="6">
        <f>IF(C365&lt;='Plano Diretor'!$AU$4,SUM(BZ34:CD34),0)</f>
        <v>0</v>
      </c>
    </row>
    <row r="366" spans="2:4" hidden="1" x14ac:dyDescent="0.2">
      <c r="B366" s="6">
        <v>29</v>
      </c>
      <c r="C366" s="73">
        <f t="shared" si="45"/>
        <v>44406</v>
      </c>
      <c r="D366" s="6">
        <f>IF(C366&lt;='Plano Diretor'!$AU$4,SUM(BZ35:CD35),0)</f>
        <v>0</v>
      </c>
    </row>
    <row r="367" spans="2:4" hidden="1" x14ac:dyDescent="0.2">
      <c r="B367" s="6">
        <v>30</v>
      </c>
      <c r="C367" s="73">
        <f t="shared" si="45"/>
        <v>44407</v>
      </c>
      <c r="D367" s="6">
        <f>IF(C367&lt;='Plano Diretor'!$AU$4,SUM(BZ36:CD36),0)</f>
        <v>0</v>
      </c>
    </row>
    <row r="368" spans="2:4" hidden="1" x14ac:dyDescent="0.2">
      <c r="B368" s="6">
        <v>31</v>
      </c>
      <c r="C368" s="73">
        <f t="shared" si="45"/>
        <v>44408</v>
      </c>
      <c r="D368" s="6">
        <f>IF(C368&lt;='Plano Diretor'!$AU$4,SUM(BZ37:CD37),0)</f>
        <v>0</v>
      </c>
    </row>
    <row r="369" spans="2:4" hidden="1" x14ac:dyDescent="0.2">
      <c r="B369" s="6">
        <v>1</v>
      </c>
      <c r="C369" s="73">
        <f>CE7</f>
        <v>44501</v>
      </c>
      <c r="D369" s="6">
        <f>IF(C369&lt;='Plano Diretor'!$AU$4,SUM(CH7:CL7),0)</f>
        <v>0</v>
      </c>
    </row>
    <row r="370" spans="2:4" hidden="1" x14ac:dyDescent="0.2">
      <c r="B370" s="6">
        <v>2</v>
      </c>
      <c r="C370" s="73">
        <f t="shared" ref="C370:C399" si="46">CE8</f>
        <v>44502</v>
      </c>
      <c r="D370" s="6">
        <f>IF(C370&lt;='Plano Diretor'!$AU$4,SUM(CH8:CL8),0)</f>
        <v>0</v>
      </c>
    </row>
    <row r="371" spans="2:4" hidden="1" x14ac:dyDescent="0.2">
      <c r="B371" s="6">
        <v>3</v>
      </c>
      <c r="C371" s="73">
        <f t="shared" si="46"/>
        <v>44503</v>
      </c>
      <c r="D371" s="6">
        <f>IF(C371&lt;='Plano Diretor'!$AU$4,SUM(CH9:CL9),0)</f>
        <v>0</v>
      </c>
    </row>
    <row r="372" spans="2:4" hidden="1" x14ac:dyDescent="0.2">
      <c r="B372" s="6">
        <v>4</v>
      </c>
      <c r="C372" s="73">
        <f t="shared" si="46"/>
        <v>44504</v>
      </c>
      <c r="D372" s="6">
        <f>IF(C372&lt;='Plano Diretor'!$AU$4,SUM(CH10:CL10),0)</f>
        <v>0</v>
      </c>
    </row>
    <row r="373" spans="2:4" hidden="1" x14ac:dyDescent="0.2">
      <c r="B373" s="6">
        <v>5</v>
      </c>
      <c r="C373" s="73">
        <f t="shared" si="46"/>
        <v>44505</v>
      </c>
      <c r="D373" s="6">
        <f>IF(C373&lt;='Plano Diretor'!$AU$4,SUM(CH11:CL11),0)</f>
        <v>0</v>
      </c>
    </row>
    <row r="374" spans="2:4" hidden="1" x14ac:dyDescent="0.2">
      <c r="B374" s="6">
        <v>6</v>
      </c>
      <c r="C374" s="73">
        <f t="shared" si="46"/>
        <v>44506</v>
      </c>
      <c r="D374" s="6">
        <f>IF(C374&lt;='Plano Diretor'!$AU$4,SUM(CH12:CL12),0)</f>
        <v>0</v>
      </c>
    </row>
    <row r="375" spans="2:4" hidden="1" x14ac:dyDescent="0.2">
      <c r="B375" s="6">
        <v>7</v>
      </c>
      <c r="C375" s="73">
        <f t="shared" si="46"/>
        <v>44507</v>
      </c>
      <c r="D375" s="6">
        <f>IF(C375&lt;='Plano Diretor'!$AU$4,SUM(CH13:CL13),0)</f>
        <v>0</v>
      </c>
    </row>
    <row r="376" spans="2:4" hidden="1" x14ac:dyDescent="0.2">
      <c r="B376" s="6">
        <v>8</v>
      </c>
      <c r="C376" s="73">
        <f t="shared" si="46"/>
        <v>44508</v>
      </c>
      <c r="D376" s="6">
        <f>IF(C376&lt;='Plano Diretor'!$AU$4,SUM(CH14:CL14),0)</f>
        <v>0</v>
      </c>
    </row>
    <row r="377" spans="2:4" hidden="1" x14ac:dyDescent="0.2">
      <c r="B377" s="6">
        <v>9</v>
      </c>
      <c r="C377" s="73">
        <f t="shared" si="46"/>
        <v>44509</v>
      </c>
      <c r="D377" s="6">
        <f>IF(C377&lt;='Plano Diretor'!$AU$4,SUM(CH15:CL15),0)</f>
        <v>0</v>
      </c>
    </row>
    <row r="378" spans="2:4" hidden="1" x14ac:dyDescent="0.2">
      <c r="B378" s="6">
        <v>10</v>
      </c>
      <c r="C378" s="73">
        <f t="shared" si="46"/>
        <v>44510</v>
      </c>
      <c r="D378" s="6">
        <f>IF(C378&lt;='Plano Diretor'!$AU$4,SUM(CH16:CL16),0)</f>
        <v>0</v>
      </c>
    </row>
    <row r="379" spans="2:4" hidden="1" x14ac:dyDescent="0.2">
      <c r="B379" s="6">
        <v>11</v>
      </c>
      <c r="C379" s="73">
        <f t="shared" si="46"/>
        <v>44511</v>
      </c>
      <c r="D379" s="6">
        <f>IF(C379&lt;='Plano Diretor'!$AU$4,SUM(CH17:CL17),0)</f>
        <v>0</v>
      </c>
    </row>
    <row r="380" spans="2:4" hidden="1" x14ac:dyDescent="0.2">
      <c r="B380" s="6">
        <v>12</v>
      </c>
      <c r="C380" s="73">
        <f t="shared" si="46"/>
        <v>44512</v>
      </c>
      <c r="D380" s="6">
        <f>IF(C380&lt;='Plano Diretor'!$AU$4,SUM(CH18:CL18),0)</f>
        <v>0</v>
      </c>
    </row>
    <row r="381" spans="2:4" hidden="1" x14ac:dyDescent="0.2">
      <c r="B381" s="6">
        <v>13</v>
      </c>
      <c r="C381" s="73">
        <f t="shared" si="46"/>
        <v>44513</v>
      </c>
      <c r="D381" s="6">
        <f>IF(C381&lt;='Plano Diretor'!$AU$4,SUM(CH19:CL19),0)</f>
        <v>0</v>
      </c>
    </row>
    <row r="382" spans="2:4" hidden="1" x14ac:dyDescent="0.2">
      <c r="B382" s="6">
        <v>14</v>
      </c>
      <c r="C382" s="73">
        <f t="shared" si="46"/>
        <v>44514</v>
      </c>
      <c r="D382" s="6">
        <f>IF(C382&lt;='Plano Diretor'!$AU$4,SUM(CH20:CL20),0)</f>
        <v>0</v>
      </c>
    </row>
    <row r="383" spans="2:4" hidden="1" x14ac:dyDescent="0.2">
      <c r="B383" s="6">
        <v>15</v>
      </c>
      <c r="C383" s="73">
        <f t="shared" si="46"/>
        <v>44515</v>
      </c>
      <c r="D383" s="6">
        <f>IF(C383&lt;='Plano Diretor'!$AU$4,SUM(CH21:CL21),0)</f>
        <v>0</v>
      </c>
    </row>
    <row r="384" spans="2:4" hidden="1" x14ac:dyDescent="0.2">
      <c r="B384" s="6">
        <v>16</v>
      </c>
      <c r="C384" s="73">
        <f t="shared" si="46"/>
        <v>44516</v>
      </c>
      <c r="D384" s="6">
        <f>IF(C384&lt;='Plano Diretor'!$AU$4,SUM(CH22:CL22),0)</f>
        <v>0</v>
      </c>
    </row>
    <row r="385" spans="2:4" hidden="1" x14ac:dyDescent="0.2">
      <c r="B385" s="6">
        <v>17</v>
      </c>
      <c r="C385" s="73">
        <f t="shared" si="46"/>
        <v>44517</v>
      </c>
      <c r="D385" s="6">
        <f>IF(C385&lt;='Plano Diretor'!$AU$4,SUM(CH23:CL23),0)</f>
        <v>0</v>
      </c>
    </row>
    <row r="386" spans="2:4" hidden="1" x14ac:dyDescent="0.2">
      <c r="B386" s="6">
        <v>18</v>
      </c>
      <c r="C386" s="73">
        <f t="shared" si="46"/>
        <v>44518</v>
      </c>
      <c r="D386" s="6">
        <f>IF(C386&lt;='Plano Diretor'!$AU$4,SUM(CH24:CL24),0)</f>
        <v>0</v>
      </c>
    </row>
    <row r="387" spans="2:4" hidden="1" x14ac:dyDescent="0.2">
      <c r="B387" s="6">
        <v>19</v>
      </c>
      <c r="C387" s="73">
        <f t="shared" si="46"/>
        <v>44519</v>
      </c>
      <c r="D387" s="6">
        <f>IF(C387&lt;='Plano Diretor'!$AU$4,SUM(CH25:CL25),0)</f>
        <v>0</v>
      </c>
    </row>
    <row r="388" spans="2:4" hidden="1" x14ac:dyDescent="0.2">
      <c r="B388" s="6">
        <v>20</v>
      </c>
      <c r="C388" s="73">
        <f t="shared" si="46"/>
        <v>44520</v>
      </c>
      <c r="D388" s="6">
        <f>IF(C388&lt;='Plano Diretor'!$AU$4,SUM(CH26:CL26),0)</f>
        <v>0</v>
      </c>
    </row>
    <row r="389" spans="2:4" hidden="1" x14ac:dyDescent="0.2">
      <c r="B389" s="6">
        <v>21</v>
      </c>
      <c r="C389" s="73">
        <f t="shared" si="46"/>
        <v>44521</v>
      </c>
      <c r="D389" s="6">
        <f>IF(C389&lt;='Plano Diretor'!$AU$4,SUM(CH27:CL27),0)</f>
        <v>0</v>
      </c>
    </row>
    <row r="390" spans="2:4" hidden="1" x14ac:dyDescent="0.2">
      <c r="B390" s="6">
        <v>22</v>
      </c>
      <c r="C390" s="73">
        <f t="shared" si="46"/>
        <v>44522</v>
      </c>
      <c r="D390" s="6">
        <f>IF(C390&lt;='Plano Diretor'!$AU$4,SUM(CH28:CL28),0)</f>
        <v>0</v>
      </c>
    </row>
    <row r="391" spans="2:4" hidden="1" x14ac:dyDescent="0.2">
      <c r="B391" s="6">
        <v>23</v>
      </c>
      <c r="C391" s="73">
        <f t="shared" si="46"/>
        <v>44523</v>
      </c>
      <c r="D391" s="6">
        <f>IF(C391&lt;='Plano Diretor'!$AU$4,SUM(CH29:CL29),0)</f>
        <v>0</v>
      </c>
    </row>
    <row r="392" spans="2:4" hidden="1" x14ac:dyDescent="0.2">
      <c r="B392" s="6">
        <v>24</v>
      </c>
      <c r="C392" s="73">
        <f t="shared" si="46"/>
        <v>44524</v>
      </c>
      <c r="D392" s="6">
        <f>IF(C392&lt;='Plano Diretor'!$AU$4,SUM(CH30:CL30),0)</f>
        <v>0</v>
      </c>
    </row>
    <row r="393" spans="2:4" hidden="1" x14ac:dyDescent="0.2">
      <c r="B393" s="6">
        <v>25</v>
      </c>
      <c r="C393" s="73">
        <f t="shared" si="46"/>
        <v>44525</v>
      </c>
      <c r="D393" s="6">
        <f>IF(C393&lt;='Plano Diretor'!$AU$4,SUM(CH31:CL31),0)</f>
        <v>0</v>
      </c>
    </row>
    <row r="394" spans="2:4" hidden="1" x14ac:dyDescent="0.2">
      <c r="B394" s="6">
        <v>26</v>
      </c>
      <c r="C394" s="73">
        <f t="shared" si="46"/>
        <v>44526</v>
      </c>
      <c r="D394" s="6">
        <f>IF(C394&lt;='Plano Diretor'!$AU$4,SUM(CH32:CL32),0)</f>
        <v>0</v>
      </c>
    </row>
    <row r="395" spans="2:4" hidden="1" x14ac:dyDescent="0.2">
      <c r="B395" s="6">
        <v>27</v>
      </c>
      <c r="C395" s="73">
        <f t="shared" si="46"/>
        <v>44527</v>
      </c>
      <c r="D395" s="6">
        <f>IF(C395&lt;='Plano Diretor'!$AU$4,SUM(CH33:CL33),0)</f>
        <v>0</v>
      </c>
    </row>
    <row r="396" spans="2:4" hidden="1" x14ac:dyDescent="0.2">
      <c r="B396" s="6">
        <v>28</v>
      </c>
      <c r="C396" s="73">
        <f t="shared" si="46"/>
        <v>44528</v>
      </c>
      <c r="D396" s="6">
        <f>IF(C396&lt;='Plano Diretor'!$AU$4,SUM(CH34:CL34),0)</f>
        <v>0</v>
      </c>
    </row>
    <row r="397" spans="2:4" hidden="1" x14ac:dyDescent="0.2">
      <c r="B397" s="6">
        <v>29</v>
      </c>
      <c r="C397" s="73">
        <f t="shared" si="46"/>
        <v>44529</v>
      </c>
      <c r="D397" s="6">
        <f>IF(C397&lt;='Plano Diretor'!$AU$4,SUM(CH35:CL35),0)</f>
        <v>0</v>
      </c>
    </row>
    <row r="398" spans="2:4" hidden="1" x14ac:dyDescent="0.2">
      <c r="B398" s="6">
        <v>30</v>
      </c>
      <c r="C398" s="73">
        <f t="shared" si="46"/>
        <v>44530</v>
      </c>
      <c r="D398" s="6">
        <f>IF(C398&lt;='Plano Diretor'!$AU$4,SUM(CH36:CL36),0)</f>
        <v>0</v>
      </c>
    </row>
    <row r="399" spans="2:4" hidden="1" x14ac:dyDescent="0.2">
      <c r="B399" s="6">
        <v>31</v>
      </c>
      <c r="C399" s="73" t="str">
        <f t="shared" si="46"/>
        <v/>
      </c>
      <c r="D399" s="6">
        <f>IF(C399&lt;='Plano Diretor'!$AU$4,SUM(CH37:CL37),0)</f>
        <v>0</v>
      </c>
    </row>
    <row r="400" spans="2:4" hidden="1" x14ac:dyDescent="0.2">
      <c r="B400" s="6">
        <v>1</v>
      </c>
      <c r="C400" s="73">
        <f>CM7</f>
        <v>44531</v>
      </c>
      <c r="D400" s="6" t="e">
        <f>IF(C400&lt;='Plano Diretor'!$AU$4,SUM(#REF!),0)</f>
        <v>#REF!</v>
      </c>
    </row>
    <row r="401" spans="2:4" hidden="1" x14ac:dyDescent="0.2">
      <c r="B401" s="6">
        <v>2</v>
      </c>
      <c r="C401" s="73">
        <f t="shared" ref="C401:C430" si="47">CM8</f>
        <v>44532</v>
      </c>
      <c r="D401" s="6" t="e">
        <f>IF(C401&lt;='Plano Diretor'!$AU$4,SUM(#REF!),0)</f>
        <v>#REF!</v>
      </c>
    </row>
    <row r="402" spans="2:4" hidden="1" x14ac:dyDescent="0.2">
      <c r="B402" s="6">
        <v>3</v>
      </c>
      <c r="C402" s="73">
        <f t="shared" si="47"/>
        <v>44533</v>
      </c>
      <c r="D402" s="6" t="e">
        <f>IF(C402&lt;='Plano Diretor'!$AU$4,SUM(#REF!),0)</f>
        <v>#REF!</v>
      </c>
    </row>
    <row r="403" spans="2:4" hidden="1" x14ac:dyDescent="0.2">
      <c r="B403" s="6">
        <v>4</v>
      </c>
      <c r="C403" s="73">
        <f t="shared" si="47"/>
        <v>44534</v>
      </c>
      <c r="D403" s="6" t="e">
        <f>IF(C403&lt;='Plano Diretor'!$AU$4,SUM(#REF!),0)</f>
        <v>#REF!</v>
      </c>
    </row>
    <row r="404" spans="2:4" hidden="1" x14ac:dyDescent="0.2">
      <c r="B404" s="6">
        <v>5</v>
      </c>
      <c r="C404" s="73">
        <f t="shared" si="47"/>
        <v>44535</v>
      </c>
      <c r="D404" s="6" t="e">
        <f>IF(C404&lt;='Plano Diretor'!$AU$4,SUM(#REF!),0)</f>
        <v>#REF!</v>
      </c>
    </row>
    <row r="405" spans="2:4" hidden="1" x14ac:dyDescent="0.2">
      <c r="B405" s="6">
        <v>6</v>
      </c>
      <c r="C405" s="73">
        <f t="shared" si="47"/>
        <v>44536</v>
      </c>
      <c r="D405" s="6" t="e">
        <f>IF(C405&lt;='Plano Diretor'!$AU$4,SUM(#REF!),0)</f>
        <v>#REF!</v>
      </c>
    </row>
    <row r="406" spans="2:4" hidden="1" x14ac:dyDescent="0.2">
      <c r="B406" s="6">
        <v>7</v>
      </c>
      <c r="C406" s="73">
        <f t="shared" si="47"/>
        <v>44537</v>
      </c>
      <c r="D406" s="6" t="e">
        <f>IF(C406&lt;='Plano Diretor'!$AU$4,SUM(#REF!),0)</f>
        <v>#REF!</v>
      </c>
    </row>
    <row r="407" spans="2:4" hidden="1" x14ac:dyDescent="0.2">
      <c r="B407" s="6">
        <v>8</v>
      </c>
      <c r="C407" s="73">
        <f t="shared" si="47"/>
        <v>44538</v>
      </c>
      <c r="D407" s="6" t="e">
        <f>IF(C407&lt;='Plano Diretor'!$AU$4,SUM(#REF!),0)</f>
        <v>#REF!</v>
      </c>
    </row>
    <row r="408" spans="2:4" hidden="1" x14ac:dyDescent="0.2">
      <c r="B408" s="6">
        <v>9</v>
      </c>
      <c r="C408" s="73">
        <f t="shared" si="47"/>
        <v>44539</v>
      </c>
      <c r="D408" s="6" t="e">
        <f>IF(C408&lt;='Plano Diretor'!$AU$4,SUM(#REF!),0)</f>
        <v>#REF!</v>
      </c>
    </row>
    <row r="409" spans="2:4" hidden="1" x14ac:dyDescent="0.2">
      <c r="B409" s="6">
        <v>10</v>
      </c>
      <c r="C409" s="73">
        <f t="shared" si="47"/>
        <v>44540</v>
      </c>
      <c r="D409" s="6" t="e">
        <f>IF(C409&lt;='Plano Diretor'!$AU$4,SUM(#REF!),0)</f>
        <v>#REF!</v>
      </c>
    </row>
    <row r="410" spans="2:4" hidden="1" x14ac:dyDescent="0.2">
      <c r="B410" s="6">
        <v>11</v>
      </c>
      <c r="C410" s="73">
        <f t="shared" si="47"/>
        <v>44541</v>
      </c>
      <c r="D410" s="6" t="e">
        <f>IF(C410&lt;='Plano Diretor'!$AU$4,SUM(#REF!),0)</f>
        <v>#REF!</v>
      </c>
    </row>
    <row r="411" spans="2:4" hidden="1" x14ac:dyDescent="0.2">
      <c r="B411" s="6">
        <v>12</v>
      </c>
      <c r="C411" s="73">
        <f t="shared" si="47"/>
        <v>44542</v>
      </c>
      <c r="D411" s="6" t="e">
        <f>IF(C411&lt;='Plano Diretor'!$AU$4,SUM(#REF!),0)</f>
        <v>#REF!</v>
      </c>
    </row>
    <row r="412" spans="2:4" hidden="1" x14ac:dyDescent="0.2">
      <c r="B412" s="6">
        <v>13</v>
      </c>
      <c r="C412" s="73">
        <f t="shared" si="47"/>
        <v>44543</v>
      </c>
      <c r="D412" s="6" t="e">
        <f>IF(C412&lt;='Plano Diretor'!$AU$4,SUM(#REF!),0)</f>
        <v>#REF!</v>
      </c>
    </row>
    <row r="413" spans="2:4" hidden="1" x14ac:dyDescent="0.2">
      <c r="B413" s="6">
        <v>14</v>
      </c>
      <c r="C413" s="73">
        <f t="shared" si="47"/>
        <v>44544</v>
      </c>
      <c r="D413" s="6" t="e">
        <f>IF(C413&lt;='Plano Diretor'!$AU$4,SUM(#REF!),0)</f>
        <v>#REF!</v>
      </c>
    </row>
    <row r="414" spans="2:4" hidden="1" x14ac:dyDescent="0.2">
      <c r="B414" s="6">
        <v>15</v>
      </c>
      <c r="C414" s="73">
        <f t="shared" si="47"/>
        <v>44545</v>
      </c>
      <c r="D414" s="6" t="e">
        <f>IF(C414&lt;='Plano Diretor'!$AU$4,SUM(#REF!),0)</f>
        <v>#REF!</v>
      </c>
    </row>
    <row r="415" spans="2:4" hidden="1" x14ac:dyDescent="0.2">
      <c r="B415" s="6">
        <v>16</v>
      </c>
      <c r="C415" s="73">
        <f t="shared" si="47"/>
        <v>44546</v>
      </c>
      <c r="D415" s="6" t="e">
        <f>IF(C415&lt;='Plano Diretor'!$AU$4,SUM(#REF!),0)</f>
        <v>#REF!</v>
      </c>
    </row>
    <row r="416" spans="2:4" hidden="1" x14ac:dyDescent="0.2">
      <c r="B416" s="6">
        <v>17</v>
      </c>
      <c r="C416" s="73">
        <f t="shared" si="47"/>
        <v>44547</v>
      </c>
      <c r="D416" s="6" t="e">
        <f>IF(C416&lt;='Plano Diretor'!$AU$4,SUM(#REF!),0)</f>
        <v>#REF!</v>
      </c>
    </row>
    <row r="417" spans="2:4" hidden="1" x14ac:dyDescent="0.2">
      <c r="B417" s="6">
        <v>18</v>
      </c>
      <c r="C417" s="73">
        <f t="shared" si="47"/>
        <v>44548</v>
      </c>
      <c r="D417" s="6" t="e">
        <f>IF(C417&lt;='Plano Diretor'!$AU$4,SUM(#REF!),0)</f>
        <v>#REF!</v>
      </c>
    </row>
    <row r="418" spans="2:4" hidden="1" x14ac:dyDescent="0.2">
      <c r="B418" s="6">
        <v>19</v>
      </c>
      <c r="C418" s="73">
        <f t="shared" si="47"/>
        <v>44549</v>
      </c>
      <c r="D418" s="6" t="e">
        <f>IF(C418&lt;='Plano Diretor'!$AU$4,SUM(#REF!),0)</f>
        <v>#REF!</v>
      </c>
    </row>
    <row r="419" spans="2:4" hidden="1" x14ac:dyDescent="0.2">
      <c r="B419" s="6">
        <v>20</v>
      </c>
      <c r="C419" s="73">
        <f t="shared" si="47"/>
        <v>44550</v>
      </c>
      <c r="D419" s="6" t="e">
        <f>IF(C419&lt;='Plano Diretor'!$AU$4,SUM(#REF!),0)</f>
        <v>#REF!</v>
      </c>
    </row>
    <row r="420" spans="2:4" hidden="1" x14ac:dyDescent="0.2">
      <c r="B420" s="6">
        <v>21</v>
      </c>
      <c r="C420" s="73">
        <f t="shared" si="47"/>
        <v>44551</v>
      </c>
      <c r="D420" s="6" t="e">
        <f>IF(C420&lt;='Plano Diretor'!$AU$4,SUM(#REF!),0)</f>
        <v>#REF!</v>
      </c>
    </row>
    <row r="421" spans="2:4" hidden="1" x14ac:dyDescent="0.2">
      <c r="B421" s="6">
        <v>22</v>
      </c>
      <c r="C421" s="73">
        <f t="shared" si="47"/>
        <v>44552</v>
      </c>
      <c r="D421" s="6" t="e">
        <f>IF(C421&lt;='Plano Diretor'!$AU$4,SUM(#REF!),0)</f>
        <v>#REF!</v>
      </c>
    </row>
    <row r="422" spans="2:4" hidden="1" x14ac:dyDescent="0.2">
      <c r="B422" s="6">
        <v>23</v>
      </c>
      <c r="C422" s="73">
        <f t="shared" si="47"/>
        <v>44553</v>
      </c>
      <c r="D422" s="6" t="e">
        <f>IF(C422&lt;='Plano Diretor'!$AU$4,SUM(#REF!),0)</f>
        <v>#REF!</v>
      </c>
    </row>
    <row r="423" spans="2:4" hidden="1" x14ac:dyDescent="0.2">
      <c r="B423" s="6">
        <v>24</v>
      </c>
      <c r="C423" s="73">
        <f t="shared" si="47"/>
        <v>44554</v>
      </c>
      <c r="D423" s="6" t="e">
        <f>IF(C423&lt;='Plano Diretor'!$AU$4,SUM(#REF!),0)</f>
        <v>#REF!</v>
      </c>
    </row>
    <row r="424" spans="2:4" hidden="1" x14ac:dyDescent="0.2">
      <c r="B424" s="6">
        <v>25</v>
      </c>
      <c r="C424" s="73">
        <f t="shared" si="47"/>
        <v>44555</v>
      </c>
      <c r="D424" s="6" t="e">
        <f>IF(C424&lt;='Plano Diretor'!$AU$4,SUM(#REF!),0)</f>
        <v>#REF!</v>
      </c>
    </row>
    <row r="425" spans="2:4" hidden="1" x14ac:dyDescent="0.2">
      <c r="B425" s="6">
        <v>26</v>
      </c>
      <c r="C425" s="73">
        <f t="shared" si="47"/>
        <v>44556</v>
      </c>
      <c r="D425" s="6" t="e">
        <f>IF(C425&lt;='Plano Diretor'!$AU$4,SUM(#REF!),0)</f>
        <v>#REF!</v>
      </c>
    </row>
    <row r="426" spans="2:4" hidden="1" x14ac:dyDescent="0.2">
      <c r="B426" s="6">
        <v>27</v>
      </c>
      <c r="C426" s="73">
        <f t="shared" si="47"/>
        <v>44557</v>
      </c>
      <c r="D426" s="6" t="e">
        <f>IF(C426&lt;='Plano Diretor'!$AU$4,SUM(#REF!),0)</f>
        <v>#REF!</v>
      </c>
    </row>
    <row r="427" spans="2:4" hidden="1" x14ac:dyDescent="0.2">
      <c r="B427" s="6">
        <v>28</v>
      </c>
      <c r="C427" s="73">
        <f t="shared" si="47"/>
        <v>44558</v>
      </c>
      <c r="D427" s="6" t="e">
        <f>IF(C427&lt;='Plano Diretor'!$AU$4,SUM(#REF!),0)</f>
        <v>#REF!</v>
      </c>
    </row>
    <row r="428" spans="2:4" hidden="1" x14ac:dyDescent="0.2">
      <c r="B428" s="6">
        <v>29</v>
      </c>
      <c r="C428" s="73">
        <f t="shared" si="47"/>
        <v>44559</v>
      </c>
      <c r="D428" s="6" t="e">
        <f>IF(C428&lt;='Plano Diretor'!$AU$4,SUM(#REF!),0)</f>
        <v>#REF!</v>
      </c>
    </row>
    <row r="429" spans="2:4" hidden="1" x14ac:dyDescent="0.2">
      <c r="B429" s="6">
        <v>30</v>
      </c>
      <c r="C429" s="73">
        <f t="shared" si="47"/>
        <v>44560</v>
      </c>
      <c r="D429" s="6" t="e">
        <f>IF(C429&lt;='Plano Diretor'!$AU$4,SUM(#REF!),0)</f>
        <v>#REF!</v>
      </c>
    </row>
    <row r="430" spans="2:4" hidden="1" x14ac:dyDescent="0.2">
      <c r="B430" s="6">
        <v>31</v>
      </c>
      <c r="C430" s="73">
        <f t="shared" si="47"/>
        <v>44561</v>
      </c>
      <c r="D430" s="6" t="e">
        <f>IF(C430&lt;='Plano Diretor'!$AU$4,SUM(#REF!),0)</f>
        <v>#REF!</v>
      </c>
    </row>
    <row r="431" spans="2:4" hidden="1" x14ac:dyDescent="0.2"/>
    <row r="432" spans="2:4" ht="18.75" customHeight="1" x14ac:dyDescent="0.2"/>
    <row r="433" spans="5:90" hidden="1" x14ac:dyDescent="0.2">
      <c r="AN433" s="71"/>
    </row>
    <row r="434" spans="5:90" hidden="1" x14ac:dyDescent="0.2">
      <c r="E434" s="15">
        <f>SUM(F434:CN434)</f>
        <v>8</v>
      </c>
      <c r="F434" s="15">
        <f>SUM(F7:J37)</f>
        <v>0</v>
      </c>
      <c r="N434" s="15">
        <f>SUM(N7:R37)</f>
        <v>8</v>
      </c>
      <c r="V434" s="15">
        <f>SUM(V7:Z37)</f>
        <v>0</v>
      </c>
      <c r="AD434" s="15">
        <f>SUM(AD7:AH37)</f>
        <v>0</v>
      </c>
      <c r="AL434" s="15">
        <f>SUM(AL7:AP37)</f>
        <v>0</v>
      </c>
      <c r="AT434" s="15">
        <f>SUM(AT7:AX37)</f>
        <v>0</v>
      </c>
      <c r="BB434" s="15">
        <f>SUM(BB7:BF37)</f>
        <v>0</v>
      </c>
      <c r="BJ434" s="15">
        <f>SUM(BJ7:BN37)</f>
        <v>0</v>
      </c>
      <c r="BR434" s="15">
        <f>SUM(BR7:BV37)</f>
        <v>0</v>
      </c>
      <c r="BZ434" s="15">
        <f>SUM(BZ7:CD37)</f>
        <v>0</v>
      </c>
      <c r="CH434" s="15">
        <f>SUM(CH7:CL37)</f>
        <v>0</v>
      </c>
    </row>
    <row r="435" spans="5:90" hidden="1" x14ac:dyDescent="0.2">
      <c r="E435" s="15">
        <f>SUM(F435:CN435)</f>
        <v>1</v>
      </c>
      <c r="F435" s="15">
        <f>F434/8</f>
        <v>0</v>
      </c>
      <c r="N435" s="15">
        <f>N434/8</f>
        <v>1</v>
      </c>
      <c r="V435" s="15">
        <f>V434/8</f>
        <v>0</v>
      </c>
      <c r="AD435" s="15">
        <f>AD434/8</f>
        <v>0</v>
      </c>
      <c r="AL435" s="15">
        <f>AL434/8</f>
        <v>0</v>
      </c>
      <c r="AT435" s="15">
        <f>AT434/8</f>
        <v>0</v>
      </c>
      <c r="BB435" s="15">
        <f>BB434/8</f>
        <v>0</v>
      </c>
      <c r="BJ435" s="15">
        <f>BJ434/8</f>
        <v>0</v>
      </c>
      <c r="BR435" s="15">
        <f>BR434/8</f>
        <v>0</v>
      </c>
      <c r="BZ435" s="15">
        <f>BZ434/8</f>
        <v>0</v>
      </c>
      <c r="CH435" s="15">
        <f>CH434/8</f>
        <v>0</v>
      </c>
    </row>
    <row r="436" spans="5:90" hidden="1" x14ac:dyDescent="0.2"/>
    <row r="437" spans="5:90" hidden="1" x14ac:dyDescent="0.2">
      <c r="E437" s="15">
        <f>SUM(F437:CN437)</f>
        <v>0</v>
      </c>
      <c r="F437" s="15">
        <f>SUM(F8:F37)/8</f>
        <v>0</v>
      </c>
      <c r="N437" s="15">
        <f>SUM(N7:N37)/8</f>
        <v>0</v>
      </c>
      <c r="V437" s="15">
        <f>SUM(V7:V37)/8</f>
        <v>0</v>
      </c>
      <c r="AD437" s="15">
        <f>SUM(AD8:AD37)/8</f>
        <v>0</v>
      </c>
      <c r="AL437" s="15">
        <f>SUM(AL9:AL37)/8</f>
        <v>0</v>
      </c>
      <c r="AT437" s="15">
        <f>SUM(AT7:AT37)/8</f>
        <v>0</v>
      </c>
      <c r="BB437" s="15">
        <f>SUM(BB7:BB37)/8</f>
        <v>0</v>
      </c>
      <c r="BJ437" s="15">
        <f>SUM(BJ7:BJ37)/8</f>
        <v>0</v>
      </c>
      <c r="BR437" s="15">
        <f>SUM(BR7:BR37)/8</f>
        <v>0</v>
      </c>
      <c r="BZ437" s="15">
        <f>SUM(BZ7:BZ37)/8</f>
        <v>0</v>
      </c>
      <c r="CH437" s="15">
        <f>SUM(CH7:CH37)/8</f>
        <v>0</v>
      </c>
    </row>
    <row r="438" spans="5:90" hidden="1" x14ac:dyDescent="0.2">
      <c r="E438" s="15">
        <f>SUM(F438:CN438)</f>
        <v>0</v>
      </c>
      <c r="G438" s="15">
        <f>SUM(G7:G37)/8</f>
        <v>0</v>
      </c>
      <c r="O438" s="15">
        <f>SUM(O8:O37)/8</f>
        <v>0</v>
      </c>
      <c r="W438" s="15">
        <f>SUM(W7:W37)/8</f>
        <v>0</v>
      </c>
      <c r="AE438" s="15">
        <f>SUM(AE7:AE37)/8</f>
        <v>0</v>
      </c>
      <c r="AM438" s="15">
        <f>SUM(AM7:AM37)/8</f>
        <v>0</v>
      </c>
      <c r="AU438" s="15">
        <f>SUM(AU7:AU37)/8</f>
        <v>0</v>
      </c>
      <c r="BC438" s="15">
        <f>SUM(BC7:BC37)/8</f>
        <v>0</v>
      </c>
      <c r="BK438" s="15">
        <f>SUM(BK7:BK37)/8</f>
        <v>0</v>
      </c>
      <c r="BS438" s="15">
        <f>SUM(BS7:BS37)/8</f>
        <v>0</v>
      </c>
      <c r="CA438" s="15">
        <f>SUM(CA7:CA37)/8</f>
        <v>0</v>
      </c>
      <c r="CI438" s="15">
        <f>SUM(CI7:CI37)/8</f>
        <v>0</v>
      </c>
    </row>
    <row r="439" spans="5:90" hidden="1" x14ac:dyDescent="0.2">
      <c r="E439" s="15">
        <f>SUM(F439:CN439)</f>
        <v>1</v>
      </c>
      <c r="H439" s="15">
        <f>SUM(H7:H37)/8</f>
        <v>0</v>
      </c>
      <c r="P439" s="15">
        <f>SUM(P7:P37)/8</f>
        <v>1</v>
      </c>
      <c r="X439" s="15">
        <f>SUM(X7:X37)/8</f>
        <v>0</v>
      </c>
      <c r="AF439" s="15">
        <f>SUM(AF8:AF37)/8</f>
        <v>0</v>
      </c>
      <c r="AN439" s="15">
        <f>SUM(AN7:AN37)/8</f>
        <v>0</v>
      </c>
      <c r="AV439" s="15">
        <f>SUM(AV7:AV37)/8</f>
        <v>0</v>
      </c>
      <c r="BD439" s="15">
        <f>SUM(BD7:BD37)/8</f>
        <v>0</v>
      </c>
      <c r="BL439" s="15">
        <f>SUM(BL7:BL37)/8</f>
        <v>0</v>
      </c>
      <c r="BT439" s="15">
        <f>SUM(BT7:BT37)/8</f>
        <v>0</v>
      </c>
      <c r="CB439" s="15">
        <f>SUM(CB9:CB37)/8</f>
        <v>0</v>
      </c>
      <c r="CJ439" s="15">
        <f>SUM(CJ7:CJ37)/8</f>
        <v>0</v>
      </c>
    </row>
    <row r="440" spans="5:90" hidden="1" x14ac:dyDescent="0.2">
      <c r="E440" s="15">
        <f>SUM(F440:CN440)</f>
        <v>0</v>
      </c>
      <c r="I440" s="15">
        <f>SUM(I7:I37)/8</f>
        <v>0</v>
      </c>
      <c r="Q440" s="15">
        <f>SUM(Q7:Q37)/8</f>
        <v>0</v>
      </c>
      <c r="Y440" s="15">
        <f>SUM(Y7:Y37)/8</f>
        <v>0</v>
      </c>
      <c r="AG440" s="15">
        <f>SUM(AG7:AG37)/8</f>
        <v>0</v>
      </c>
      <c r="AO440" s="15">
        <f>SUM(AO7:AO37)/8</f>
        <v>0</v>
      </c>
      <c r="AW440" s="15">
        <f>SUM(AW7:AW37)/8</f>
        <v>0</v>
      </c>
      <c r="BE440" s="15">
        <f>SUM(BE7:BE37)/8</f>
        <v>0</v>
      </c>
      <c r="BM440" s="15">
        <f>SUM(BM7:BM37)/8</f>
        <v>0</v>
      </c>
      <c r="BU440" s="15">
        <f>SUM(BU7:BU37)/8</f>
        <v>0</v>
      </c>
      <c r="CC440" s="15">
        <f>SUM(CC7:CC37)/8</f>
        <v>0</v>
      </c>
      <c r="CK440" s="15">
        <f>SUM(CK7:CK37)/8</f>
        <v>0</v>
      </c>
    </row>
    <row r="441" spans="5:90" hidden="1" x14ac:dyDescent="0.2">
      <c r="E441" s="15">
        <f>SUM(F441:CN441)</f>
        <v>0</v>
      </c>
      <c r="J441" s="15">
        <f>SUM(J7:J37)/8</f>
        <v>0</v>
      </c>
      <c r="R441" s="15">
        <f>SUM(R7:R37)/8</f>
        <v>0</v>
      </c>
      <c r="Z441" s="15">
        <f>SUM(Z7:Z37)/8</f>
        <v>0</v>
      </c>
      <c r="AH441" s="15">
        <f>SUM(AH7:AH37)/8</f>
        <v>0</v>
      </c>
      <c r="AP441" s="15">
        <f>SUM(AP7:AP37)/8</f>
        <v>0</v>
      </c>
      <c r="AX441" s="15">
        <f>SUM(AX7:AX37)/8</f>
        <v>0</v>
      </c>
      <c r="BF441" s="15">
        <f>SUM(BF7:BF37)/8</f>
        <v>0</v>
      </c>
      <c r="BN441" s="15">
        <f>SUM(BN7:BN37)/8</f>
        <v>0</v>
      </c>
      <c r="BV441" s="15">
        <f>SUM(BV7:BV37)/8</f>
        <v>0</v>
      </c>
      <c r="CD441" s="15">
        <f>SUM(CD7:CD37)/8</f>
        <v>0</v>
      </c>
      <c r="CL441" s="15">
        <f>SUM(CL7:CL37)/8</f>
        <v>0</v>
      </c>
    </row>
    <row r="2118" spans="34:92" x14ac:dyDescent="0.2">
      <c r="AH2118" s="3"/>
      <c r="AI2118" s="3"/>
      <c r="AJ2118" s="3"/>
      <c r="AK2118" s="3"/>
      <c r="AL2118" s="3"/>
      <c r="AM2118" s="3"/>
      <c r="AN2118" s="3"/>
      <c r="AO2118" s="3"/>
      <c r="AP2118" s="3"/>
      <c r="AQ2118" s="3"/>
      <c r="AR2118" s="3"/>
      <c r="AS2118" s="3"/>
      <c r="AT2118" s="3"/>
      <c r="AU2118" s="3"/>
      <c r="AV2118" s="3"/>
      <c r="AW2118" s="3"/>
      <c r="AX2118" s="3"/>
      <c r="AY2118" s="3"/>
      <c r="AZ2118" s="3"/>
      <c r="BA2118" s="3"/>
      <c r="BB2118" s="3"/>
      <c r="BC2118" s="3"/>
      <c r="BD2118" s="3"/>
      <c r="BE2118" s="3"/>
      <c r="BF2118" s="3"/>
      <c r="BG2118" s="3"/>
      <c r="BH2118" s="3"/>
      <c r="BI2118" s="3"/>
      <c r="BJ2118" s="3"/>
      <c r="BK2118" s="3"/>
      <c r="BL2118" s="3"/>
      <c r="BM2118" s="3"/>
      <c r="BN2118" s="3"/>
      <c r="BO2118" s="3"/>
      <c r="BP2118" s="3"/>
      <c r="BQ2118" s="3"/>
      <c r="BR2118" s="3"/>
      <c r="BS2118" s="3"/>
      <c r="BT2118" s="3"/>
      <c r="BU2118" s="3"/>
      <c r="BV2118" s="3"/>
      <c r="BW2118" s="3"/>
      <c r="BX2118" s="3"/>
      <c r="BY2118" s="3"/>
      <c r="BZ2118" s="3"/>
      <c r="CA2118" s="3"/>
      <c r="CB2118" s="3"/>
      <c r="CC2118" s="3"/>
      <c r="CD2118" s="3"/>
      <c r="CE2118" s="3"/>
      <c r="CF2118" s="3"/>
      <c r="CG2118" s="3"/>
    </row>
    <row r="2119" spans="34:92" x14ac:dyDescent="0.2">
      <c r="AH2119" s="3"/>
      <c r="AI2119" s="3"/>
      <c r="AJ2119" s="3"/>
      <c r="AK2119" s="3"/>
      <c r="AL2119" s="3"/>
      <c r="AM2119" s="3"/>
      <c r="AN2119" s="3"/>
      <c r="AO2119" s="3"/>
      <c r="AP2119" s="3"/>
      <c r="AQ2119" s="3"/>
      <c r="AR2119" s="3"/>
      <c r="AS2119" s="3"/>
      <c r="AT2119" s="3"/>
      <c r="AU2119" s="3"/>
      <c r="AV2119" s="3"/>
      <c r="AW2119" s="3"/>
      <c r="AX2119" s="3"/>
      <c r="AY2119" s="3"/>
      <c r="AZ2119" s="3"/>
      <c r="BA2119" s="3"/>
      <c r="BB2119" s="3"/>
      <c r="BC2119" s="3"/>
      <c r="BD2119" s="3"/>
      <c r="BE2119" s="3"/>
      <c r="BF2119" s="3"/>
      <c r="BG2119" s="3"/>
      <c r="BH2119" s="3"/>
      <c r="BI2119" s="3"/>
      <c r="BJ2119" s="3"/>
      <c r="BK2119" s="3"/>
      <c r="BL2119" s="3"/>
      <c r="BM2119" s="3"/>
      <c r="BN2119" s="3"/>
      <c r="BO2119" s="3"/>
      <c r="BP2119" s="3"/>
      <c r="BQ2119" s="3"/>
      <c r="BR2119" s="3"/>
      <c r="BS2119" s="3"/>
      <c r="BT2119" s="3"/>
      <c r="BU2119" s="3"/>
      <c r="BV2119" s="3"/>
      <c r="BW2119" s="3"/>
      <c r="BX2119" s="3"/>
      <c r="BY2119" s="3"/>
      <c r="BZ2119" s="3"/>
      <c r="CA2119" s="3"/>
      <c r="CB2119" s="3"/>
      <c r="CC2119" s="3"/>
      <c r="CD2119" s="3"/>
      <c r="CE2119" s="3"/>
      <c r="CF2119" s="3"/>
      <c r="CG2119" s="3"/>
    </row>
    <row r="2120" spans="34:92" x14ac:dyDescent="0.2">
      <c r="AH2120" s="3"/>
      <c r="AI2120" s="3"/>
      <c r="AJ2120" s="3"/>
      <c r="AK2120" s="3"/>
      <c r="AL2120" s="3"/>
      <c r="AM2120" s="3"/>
      <c r="AN2120" s="3"/>
      <c r="AO2120" s="3"/>
      <c r="AP2120" s="3"/>
      <c r="AQ2120" s="3"/>
      <c r="AR2120" s="3"/>
      <c r="AS2120" s="3"/>
      <c r="AT2120" s="3"/>
      <c r="AU2120" s="3"/>
      <c r="AV2120" s="3"/>
      <c r="AW2120" s="3"/>
      <c r="AX2120" s="3"/>
      <c r="AY2120" s="3"/>
      <c r="AZ2120" s="3"/>
      <c r="BA2120" s="3"/>
      <c r="BB2120" s="3"/>
      <c r="BC2120" s="3"/>
      <c r="BD2120" s="3"/>
      <c r="BE2120" s="3"/>
      <c r="BF2120" s="3"/>
      <c r="BG2120" s="3"/>
      <c r="BH2120" s="3"/>
      <c r="BI2120" s="3"/>
      <c r="BJ2120" s="3"/>
      <c r="BK2120" s="3"/>
      <c r="BL2120" s="3"/>
      <c r="BM2120" s="3"/>
      <c r="BN2120" s="3"/>
      <c r="BO2120" s="3"/>
      <c r="BP2120" s="3"/>
      <c r="BQ2120" s="3"/>
      <c r="BR2120" s="3"/>
      <c r="BS2120" s="3"/>
      <c r="BT2120" s="3"/>
      <c r="BU2120" s="3"/>
      <c r="BV2120" s="3"/>
      <c r="BW2120" s="3"/>
      <c r="BX2120" s="3"/>
      <c r="BY2120" s="3"/>
      <c r="BZ2120" s="3"/>
      <c r="CA2120" s="3"/>
      <c r="CB2120" s="3"/>
      <c r="CC2120" s="3"/>
      <c r="CD2120" s="3"/>
      <c r="CE2120" s="3"/>
      <c r="CF2120" s="3"/>
      <c r="CG2120" s="3"/>
    </row>
    <row r="2121" spans="34:92" x14ac:dyDescent="0.2">
      <c r="AH2121" s="3"/>
      <c r="AI2121" s="3"/>
      <c r="AJ2121" s="3"/>
      <c r="AK2121" s="3"/>
      <c r="AL2121" s="3"/>
      <c r="AM2121" s="3"/>
      <c r="AN2121" s="3"/>
      <c r="AO2121" s="3"/>
      <c r="AP2121" s="3"/>
      <c r="AQ2121" s="3"/>
      <c r="AR2121" s="3"/>
      <c r="AS2121" s="3"/>
      <c r="AT2121" s="3"/>
      <c r="AU2121" s="3"/>
      <c r="AV2121" s="3"/>
      <c r="AW2121" s="3"/>
      <c r="AX2121" s="3"/>
      <c r="AY2121" s="3"/>
      <c r="AZ2121" s="3"/>
      <c r="BA2121" s="3"/>
      <c r="BB2121" s="3"/>
      <c r="BC2121" s="3"/>
      <c r="BD2121" s="3"/>
      <c r="BE2121" s="3"/>
      <c r="BF2121" s="3"/>
      <c r="BG2121" s="3"/>
      <c r="BH2121" s="3"/>
      <c r="BI2121" s="3"/>
      <c r="BJ2121" s="3"/>
      <c r="BK2121" s="3"/>
      <c r="BL2121" s="3"/>
      <c r="BM2121" s="3"/>
      <c r="BN2121" s="3"/>
      <c r="BO2121" s="3"/>
      <c r="BP2121" s="3"/>
      <c r="BQ2121" s="3"/>
      <c r="BR2121" s="3"/>
      <c r="BS2121" s="3"/>
      <c r="BT2121" s="3"/>
      <c r="BU2121" s="3"/>
      <c r="BV2121" s="3"/>
      <c r="BW2121" s="3"/>
      <c r="BX2121" s="3"/>
      <c r="BY2121" s="3"/>
      <c r="BZ2121" s="3"/>
      <c r="CA2121" s="3"/>
      <c r="CB2121" s="3"/>
      <c r="CC2121" s="3"/>
      <c r="CD2121" s="3"/>
      <c r="CE2121" s="3"/>
      <c r="CF2121" s="3"/>
      <c r="CG2121" s="3"/>
    </row>
    <row r="2122" spans="34:92" x14ac:dyDescent="0.2">
      <c r="AH2122" s="3"/>
      <c r="AI2122" s="3"/>
      <c r="AJ2122" s="3"/>
      <c r="AK2122" s="3"/>
      <c r="AL2122" s="3"/>
      <c r="AM2122" s="3"/>
      <c r="AN2122" s="3"/>
      <c r="AO2122" s="3"/>
      <c r="AP2122" s="3"/>
      <c r="AQ2122" s="3"/>
      <c r="AR2122" s="3"/>
      <c r="AS2122" s="3"/>
      <c r="AT2122" s="3"/>
      <c r="AU2122" s="3"/>
      <c r="AV2122" s="3"/>
      <c r="AW2122" s="3"/>
      <c r="AX2122" s="3"/>
      <c r="AY2122" s="3"/>
      <c r="AZ2122" s="3"/>
      <c r="BA2122" s="3"/>
      <c r="BB2122" s="3"/>
      <c r="BC2122" s="3"/>
      <c r="BD2122" s="3"/>
      <c r="BE2122" s="3"/>
      <c r="BF2122" s="3"/>
      <c r="BG2122" s="3"/>
      <c r="BH2122" s="3"/>
      <c r="BI2122" s="3"/>
      <c r="BJ2122" s="3"/>
      <c r="BK2122" s="3"/>
      <c r="BL2122" s="3"/>
      <c r="BM2122" s="3"/>
      <c r="BN2122" s="3"/>
      <c r="BO2122" s="3"/>
      <c r="BP2122" s="3"/>
      <c r="BQ2122" s="3"/>
      <c r="BR2122" s="3"/>
      <c r="BS2122" s="3"/>
      <c r="BT2122" s="3"/>
      <c r="BU2122" s="3"/>
      <c r="BV2122" s="3"/>
      <c r="BW2122" s="3"/>
      <c r="BX2122" s="3"/>
      <c r="BY2122" s="3"/>
      <c r="BZ2122" s="3"/>
      <c r="CA2122" s="3"/>
      <c r="CB2122" s="3"/>
      <c r="CC2122" s="3"/>
      <c r="CD2122" s="3"/>
      <c r="CE2122" s="3"/>
      <c r="CF2122" s="3"/>
      <c r="CG2122" s="3"/>
    </row>
    <row r="2123" spans="34:92" x14ac:dyDescent="0.2">
      <c r="AH2123" s="3"/>
      <c r="AI2123" s="3"/>
      <c r="AJ2123" s="3"/>
      <c r="AK2123" s="3"/>
      <c r="AL2123" s="3"/>
      <c r="AM2123" s="3"/>
      <c r="AN2123" s="3"/>
      <c r="AO2123" s="3"/>
      <c r="AP2123" s="3"/>
      <c r="AQ2123" s="3"/>
      <c r="AR2123" s="3"/>
      <c r="AS2123" s="3"/>
      <c r="AT2123" s="3"/>
      <c r="AU2123" s="3"/>
      <c r="AV2123" s="3"/>
      <c r="AW2123" s="3"/>
      <c r="AX2123" s="3"/>
      <c r="AY2123" s="3"/>
      <c r="AZ2123" s="3"/>
      <c r="BA2123" s="3"/>
      <c r="BB2123" s="3"/>
      <c r="BC2123" s="3"/>
      <c r="BD2123" s="3"/>
      <c r="BE2123" s="3"/>
      <c r="BF2123" s="3"/>
      <c r="BG2123" s="3"/>
      <c r="BH2123" s="3"/>
      <c r="BI2123" s="3"/>
      <c r="BJ2123" s="3"/>
      <c r="BK2123" s="3"/>
      <c r="BL2123" s="3"/>
      <c r="BM2123" s="3"/>
      <c r="BN2123" s="3"/>
      <c r="BO2123" s="3"/>
      <c r="BP2123" s="3"/>
      <c r="BQ2123" s="3"/>
      <c r="BR2123" s="3"/>
      <c r="BS2123" s="3"/>
      <c r="BT2123" s="3"/>
      <c r="BU2123" s="3"/>
      <c r="BV2123" s="3"/>
      <c r="BW2123" s="3"/>
      <c r="BX2123" s="3"/>
      <c r="BY2123" s="3"/>
      <c r="BZ2123" s="3"/>
      <c r="CA2123" s="3"/>
      <c r="CB2123" s="3"/>
      <c r="CC2123" s="3"/>
      <c r="CD2123" s="3"/>
      <c r="CE2123" s="3"/>
      <c r="CF2123" s="3"/>
      <c r="CG2123" s="3"/>
    </row>
    <row r="2124" spans="34:92" x14ac:dyDescent="0.2">
      <c r="AH2124" s="3"/>
      <c r="AI2124" s="3"/>
      <c r="AJ2124" s="3"/>
      <c r="AK2124" s="3"/>
      <c r="AL2124" s="3"/>
      <c r="AM2124" s="3"/>
      <c r="AN2124" s="3"/>
      <c r="AO2124" s="3"/>
      <c r="AP2124" s="3"/>
      <c r="AQ2124" s="3"/>
      <c r="AR2124" s="3"/>
      <c r="AS2124" s="3"/>
      <c r="AT2124" s="3"/>
      <c r="AU2124" s="3"/>
      <c r="AV2124" s="3"/>
      <c r="AW2124" s="3"/>
      <c r="AX2124" s="3"/>
      <c r="AY2124" s="3"/>
      <c r="AZ2124" s="3"/>
      <c r="BA2124" s="3"/>
      <c r="BB2124" s="3"/>
      <c r="BC2124" s="3"/>
      <c r="BD2124" s="3"/>
      <c r="BE2124" s="3"/>
      <c r="BF2124" s="3"/>
      <c r="BG2124" s="3"/>
      <c r="BH2124" s="3"/>
      <c r="BI2124" s="3"/>
      <c r="BJ2124" s="3"/>
      <c r="BK2124" s="3"/>
      <c r="BL2124" s="3"/>
      <c r="BM2124" s="3"/>
      <c r="BN2124" s="3"/>
      <c r="BO2124" s="3"/>
      <c r="BP2124" s="3"/>
      <c r="BQ2124" s="3"/>
      <c r="BR2124" s="3"/>
      <c r="BS2124" s="3"/>
      <c r="BT2124" s="3"/>
      <c r="BU2124" s="3"/>
      <c r="BV2124" s="3"/>
      <c r="BW2124" s="3"/>
      <c r="BX2124" s="3"/>
      <c r="BY2124" s="3"/>
      <c r="BZ2124" s="3"/>
      <c r="CA2124" s="3"/>
      <c r="CB2124" s="3"/>
      <c r="CC2124" s="3"/>
      <c r="CD2124" s="3"/>
      <c r="CE2124" s="3"/>
      <c r="CF2124" s="3"/>
      <c r="CG2124" s="3"/>
    </row>
    <row r="2125" spans="34:92" x14ac:dyDescent="0.2">
      <c r="AH2125" s="3"/>
      <c r="AI2125" s="3"/>
      <c r="AJ2125" s="3"/>
      <c r="AK2125" s="3"/>
      <c r="AL2125" s="3"/>
      <c r="AM2125" s="3"/>
      <c r="AN2125" s="3"/>
      <c r="AO2125" s="3"/>
      <c r="AP2125" s="3"/>
      <c r="AQ2125" s="3"/>
      <c r="AR2125" s="3"/>
      <c r="AS2125" s="3"/>
      <c r="AT2125" s="3"/>
      <c r="AU2125" s="3"/>
      <c r="AV2125" s="3"/>
      <c r="AW2125" s="3"/>
      <c r="AX2125" s="3"/>
      <c r="AY2125" s="3"/>
      <c r="AZ2125" s="3"/>
      <c r="BA2125" s="3"/>
      <c r="BB2125" s="3"/>
      <c r="BC2125" s="3"/>
      <c r="BD2125" s="3"/>
      <c r="BE2125" s="3"/>
      <c r="BF2125" s="3"/>
      <c r="BG2125" s="3"/>
      <c r="BH2125" s="3"/>
      <c r="BI2125" s="3"/>
      <c r="BJ2125" s="3"/>
      <c r="BK2125" s="3"/>
      <c r="BL2125" s="3"/>
      <c r="BM2125" s="3"/>
      <c r="BN2125" s="3"/>
      <c r="BO2125" s="3"/>
      <c r="BP2125" s="3"/>
      <c r="BQ2125" s="3"/>
      <c r="BR2125" s="3"/>
      <c r="BS2125" s="3"/>
      <c r="BT2125" s="3"/>
      <c r="BU2125" s="3"/>
      <c r="BV2125" s="3"/>
      <c r="BW2125" s="3"/>
      <c r="BX2125" s="3"/>
      <c r="BY2125" s="3"/>
      <c r="BZ2125" s="3"/>
      <c r="CA2125" s="3"/>
      <c r="CB2125" s="3"/>
      <c r="CC2125" s="3"/>
      <c r="CD2125" s="3"/>
      <c r="CE2125" s="3"/>
      <c r="CF2125" s="3"/>
      <c r="CG2125" s="3"/>
    </row>
    <row r="2126" spans="34:92" x14ac:dyDescent="0.2">
      <c r="AH2126" s="3"/>
      <c r="AI2126" s="3"/>
      <c r="AJ2126" s="3"/>
      <c r="AK2126" s="3"/>
      <c r="AL2126" s="3"/>
      <c r="AM2126" s="3"/>
      <c r="AN2126" s="3"/>
      <c r="AO2126" s="3"/>
      <c r="AP2126" s="3"/>
      <c r="AQ2126" s="3"/>
      <c r="AR2126" s="3"/>
      <c r="AS2126" s="3"/>
      <c r="AT2126" s="3"/>
      <c r="AU2126" s="3"/>
      <c r="AV2126" s="3"/>
      <c r="AW2126" s="3"/>
      <c r="AX2126" s="3"/>
      <c r="AY2126" s="3"/>
      <c r="AZ2126" s="3"/>
      <c r="BA2126" s="3"/>
      <c r="BB2126" s="3"/>
      <c r="BC2126" s="3"/>
      <c r="BD2126" s="3"/>
      <c r="BE2126" s="3"/>
      <c r="BF2126" s="3"/>
      <c r="BG2126" s="3"/>
      <c r="BH2126" s="3"/>
      <c r="BI2126" s="3"/>
      <c r="BJ2126" s="3"/>
      <c r="BK2126" s="3"/>
      <c r="BL2126" s="3"/>
      <c r="BM2126" s="3"/>
      <c r="BN2126" s="3"/>
      <c r="BO2126" s="3"/>
      <c r="BP2126" s="3"/>
      <c r="BQ2126" s="3"/>
      <c r="BR2126" s="3"/>
      <c r="BS2126" s="3"/>
      <c r="BT2126" s="3"/>
      <c r="BU2126" s="3"/>
      <c r="BV2126" s="3"/>
      <c r="BW2126" s="3"/>
      <c r="BX2126" s="3"/>
      <c r="BY2126" s="3"/>
      <c r="BZ2126" s="3"/>
      <c r="CA2126" s="3"/>
      <c r="CB2126" s="3"/>
      <c r="CC2126" s="3"/>
      <c r="CD2126" s="3"/>
      <c r="CE2126" s="3"/>
      <c r="CF2126" s="3"/>
      <c r="CG2126" s="3"/>
    </row>
    <row r="2127" spans="34:92" x14ac:dyDescent="0.2">
      <c r="AH2127" s="3"/>
      <c r="AI2127" s="3"/>
      <c r="AJ2127" s="3"/>
      <c r="AK2127" s="3"/>
      <c r="AL2127" s="3"/>
      <c r="AM2127" s="3"/>
      <c r="AN2127" s="3"/>
      <c r="AO2127" s="3"/>
      <c r="AP2127" s="3"/>
      <c r="AQ2127" s="3"/>
      <c r="AR2127" s="3"/>
      <c r="AS2127" s="3"/>
      <c r="AT2127" s="3"/>
      <c r="AU2127" s="3"/>
      <c r="AV2127" s="3"/>
      <c r="AW2127" s="3"/>
      <c r="AX2127" s="3"/>
      <c r="AY2127" s="3"/>
      <c r="AZ2127" s="3"/>
      <c r="BA2127" s="3"/>
      <c r="BB2127" s="3"/>
      <c r="BC2127" s="3"/>
      <c r="BD2127" s="3"/>
      <c r="BE2127" s="3"/>
      <c r="BF2127" s="3"/>
      <c r="BG2127" s="3"/>
      <c r="BH2127" s="3"/>
      <c r="BI2127" s="3"/>
      <c r="BJ2127" s="3"/>
      <c r="BK2127" s="3"/>
      <c r="BL2127" s="3"/>
      <c r="BM2127" s="3"/>
      <c r="BN2127" s="3"/>
      <c r="BO2127" s="3"/>
      <c r="BP2127" s="3"/>
      <c r="BQ2127" s="3"/>
      <c r="BR2127" s="3"/>
      <c r="BS2127" s="3"/>
      <c r="BT2127" s="3"/>
      <c r="BU2127" s="3"/>
      <c r="BV2127" s="3"/>
      <c r="BW2127" s="3"/>
      <c r="BX2127" s="3"/>
      <c r="BY2127" s="3"/>
      <c r="BZ2127" s="3"/>
      <c r="CA2127" s="3"/>
      <c r="CB2127" s="3"/>
      <c r="CC2127" s="3"/>
      <c r="CD2127" s="3"/>
      <c r="CE2127" s="3"/>
      <c r="CF2127" s="3"/>
      <c r="CG2127" s="3"/>
      <c r="CH2127" s="3"/>
      <c r="CI2127" s="3"/>
      <c r="CJ2127" s="3"/>
      <c r="CK2127" s="3"/>
      <c r="CL2127" s="3"/>
      <c r="CM2127" s="3"/>
      <c r="CN2127" s="3"/>
    </row>
    <row r="2128" spans="34:92" x14ac:dyDescent="0.2">
      <c r="AH2128" s="3"/>
      <c r="AI2128" s="3"/>
      <c r="AJ2128" s="3"/>
      <c r="AK2128" s="3"/>
      <c r="AL2128" s="3"/>
      <c r="AM2128" s="3"/>
      <c r="AN2128" s="3"/>
      <c r="AO2128" s="3"/>
      <c r="AP2128" s="3"/>
      <c r="AQ2128" s="3"/>
      <c r="AR2128" s="3"/>
      <c r="AS2128" s="3"/>
      <c r="AT2128" s="3"/>
      <c r="AU2128" s="3"/>
      <c r="AV2128" s="3"/>
      <c r="AW2128" s="3"/>
      <c r="AX2128" s="3"/>
      <c r="AY2128" s="3"/>
      <c r="AZ2128" s="3"/>
      <c r="BA2128" s="3"/>
      <c r="BB2128" s="3"/>
      <c r="BC2128" s="3"/>
      <c r="BD2128" s="3"/>
      <c r="BE2128" s="3"/>
      <c r="BF2128" s="3"/>
      <c r="BG2128" s="3"/>
      <c r="BH2128" s="3"/>
      <c r="BI2128" s="3"/>
      <c r="BJ2128" s="3"/>
      <c r="BK2128" s="3"/>
      <c r="BL2128" s="3"/>
      <c r="BM2128" s="3"/>
      <c r="BN2128" s="3"/>
      <c r="BO2128" s="3"/>
      <c r="BP2128" s="3"/>
      <c r="BQ2128" s="3"/>
      <c r="BR2128" s="3"/>
      <c r="BS2128" s="3"/>
      <c r="BT2128" s="3"/>
      <c r="BU2128" s="3"/>
      <c r="BV2128" s="3"/>
      <c r="BW2128" s="3"/>
      <c r="BX2128" s="3"/>
      <c r="BY2128" s="3"/>
      <c r="BZ2128" s="3"/>
      <c r="CA2128" s="3"/>
      <c r="CB2128" s="3"/>
      <c r="CC2128" s="3"/>
      <c r="CD2128" s="3"/>
      <c r="CE2128" s="3"/>
      <c r="CF2128" s="3"/>
      <c r="CG2128" s="3"/>
    </row>
    <row r="2129" spans="34:85" x14ac:dyDescent="0.2">
      <c r="AH2129" s="3"/>
      <c r="AI2129" s="3"/>
      <c r="AJ2129" s="3"/>
      <c r="AK2129" s="3"/>
      <c r="AL2129" s="3"/>
      <c r="AM2129" s="3"/>
      <c r="AN2129" s="3"/>
      <c r="AO2129" s="3"/>
      <c r="AP2129" s="3"/>
      <c r="AQ2129" s="3"/>
      <c r="AR2129" s="3"/>
      <c r="AS2129" s="3"/>
      <c r="AT2129" s="3"/>
      <c r="AU2129" s="3"/>
      <c r="AV2129" s="3"/>
      <c r="AW2129" s="3"/>
      <c r="AX2129" s="3"/>
      <c r="AY2129" s="3"/>
      <c r="AZ2129" s="3"/>
      <c r="BA2129" s="3"/>
      <c r="BB2129" s="3"/>
      <c r="BC2129" s="3"/>
      <c r="BD2129" s="3"/>
      <c r="BE2129" s="3"/>
      <c r="BF2129" s="3"/>
      <c r="BG2129" s="3"/>
      <c r="BH2129" s="3"/>
      <c r="BI2129" s="3"/>
      <c r="BJ2129" s="3"/>
      <c r="BK2129" s="3"/>
      <c r="BL2129" s="3"/>
      <c r="BM2129" s="3"/>
      <c r="BN2129" s="3"/>
      <c r="BO2129" s="3"/>
      <c r="BP2129" s="3"/>
      <c r="BQ2129" s="3"/>
      <c r="BR2129" s="3"/>
      <c r="BS2129" s="3"/>
      <c r="BT2129" s="3"/>
      <c r="BU2129" s="3"/>
      <c r="BV2129" s="3"/>
      <c r="BW2129" s="3"/>
      <c r="BX2129" s="3"/>
      <c r="BY2129" s="3"/>
      <c r="BZ2129" s="3"/>
      <c r="CA2129" s="3"/>
      <c r="CB2129" s="3"/>
      <c r="CC2129" s="3"/>
      <c r="CD2129" s="3"/>
      <c r="CE2129" s="3"/>
      <c r="CF2129" s="3"/>
      <c r="CG2129" s="3"/>
    </row>
    <row r="2130" spans="34:85" x14ac:dyDescent="0.2">
      <c r="AH2130" s="3"/>
      <c r="AI2130" s="3"/>
      <c r="AJ2130" s="3"/>
      <c r="AK2130" s="3"/>
      <c r="AL2130" s="3"/>
      <c r="AM2130" s="3"/>
      <c r="AN2130" s="3"/>
      <c r="AO2130" s="3"/>
      <c r="AP2130" s="3"/>
      <c r="AQ2130" s="3"/>
      <c r="AR2130" s="3"/>
      <c r="AS2130" s="3"/>
      <c r="AT2130" s="3"/>
      <c r="AU2130" s="3"/>
      <c r="AV2130" s="3"/>
      <c r="AW2130" s="3"/>
      <c r="AX2130" s="3"/>
      <c r="AY2130" s="3"/>
      <c r="AZ2130" s="3"/>
      <c r="BA2130" s="3"/>
      <c r="BB2130" s="3"/>
      <c r="BC2130" s="3"/>
      <c r="BD2130" s="3"/>
      <c r="BE2130" s="3"/>
      <c r="BF2130" s="3"/>
      <c r="BG2130" s="3"/>
      <c r="BH2130" s="3"/>
      <c r="BI2130" s="3"/>
      <c r="BJ2130" s="3"/>
      <c r="BK2130" s="3"/>
      <c r="BL2130" s="3"/>
      <c r="BM2130" s="3"/>
      <c r="BN2130" s="3"/>
      <c r="BO2130" s="3"/>
      <c r="BP2130" s="3"/>
      <c r="BQ2130" s="3"/>
      <c r="BR2130" s="3"/>
      <c r="BS2130" s="3"/>
      <c r="BT2130" s="3"/>
      <c r="BU2130" s="3"/>
      <c r="BV2130" s="3"/>
      <c r="BW2130" s="3"/>
      <c r="BX2130" s="3"/>
      <c r="BY2130" s="3"/>
      <c r="BZ2130" s="3"/>
      <c r="CA2130" s="3"/>
      <c r="CB2130" s="3"/>
      <c r="CC2130" s="3"/>
      <c r="CD2130" s="3"/>
      <c r="CE2130" s="3"/>
      <c r="CF2130" s="3"/>
      <c r="CG2130" s="3"/>
    </row>
    <row r="2131" spans="34:85" x14ac:dyDescent="0.2">
      <c r="AH2131" s="3"/>
      <c r="AI2131" s="3"/>
      <c r="AJ2131" s="3"/>
      <c r="AK2131" s="3"/>
      <c r="AL2131" s="3"/>
      <c r="AM2131" s="3"/>
      <c r="AN2131" s="3"/>
      <c r="AO2131" s="3"/>
      <c r="AP2131" s="3"/>
      <c r="AQ2131" s="3"/>
      <c r="AR2131" s="3"/>
      <c r="AS2131" s="3"/>
      <c r="AT2131" s="3"/>
      <c r="AU2131" s="3"/>
      <c r="AV2131" s="3"/>
      <c r="AW2131" s="3"/>
      <c r="AX2131" s="3"/>
      <c r="AY2131" s="3"/>
      <c r="AZ2131" s="3"/>
      <c r="BA2131" s="3"/>
      <c r="BB2131" s="3"/>
      <c r="BC2131" s="3"/>
      <c r="BD2131" s="3"/>
      <c r="BE2131" s="3"/>
      <c r="BF2131" s="3"/>
      <c r="BG2131" s="3"/>
      <c r="BH2131" s="3"/>
      <c r="BI2131" s="3"/>
      <c r="BJ2131" s="3"/>
      <c r="BK2131" s="3"/>
      <c r="BL2131" s="3"/>
      <c r="BM2131" s="3"/>
      <c r="BN2131" s="3"/>
      <c r="BO2131" s="3"/>
      <c r="BP2131" s="3"/>
      <c r="BQ2131" s="3"/>
      <c r="BR2131" s="3"/>
      <c r="BS2131" s="3"/>
      <c r="BT2131" s="3"/>
      <c r="BU2131" s="3"/>
      <c r="BV2131" s="3"/>
      <c r="BW2131" s="3"/>
      <c r="BX2131" s="3"/>
      <c r="BY2131" s="3"/>
      <c r="BZ2131" s="3"/>
      <c r="CA2131" s="3"/>
      <c r="CB2131" s="3"/>
      <c r="CC2131" s="3"/>
      <c r="CD2131" s="3"/>
      <c r="CE2131" s="3"/>
      <c r="CF2131" s="3"/>
      <c r="CG2131" s="3"/>
    </row>
    <row r="2132" spans="34:85" x14ac:dyDescent="0.2">
      <c r="AH2132" s="3"/>
      <c r="AI2132" s="3"/>
      <c r="AJ2132" s="3"/>
      <c r="AK2132" s="3"/>
      <c r="AL2132" s="3"/>
      <c r="AM2132" s="3"/>
      <c r="AN2132" s="3"/>
      <c r="AO2132" s="3"/>
      <c r="AP2132" s="3"/>
      <c r="AQ2132" s="3"/>
      <c r="AR2132" s="3"/>
      <c r="AS2132" s="3"/>
      <c r="AT2132" s="3"/>
      <c r="AU2132" s="3"/>
      <c r="AV2132" s="3"/>
      <c r="AW2132" s="3"/>
      <c r="AX2132" s="3"/>
      <c r="AY2132" s="3"/>
      <c r="AZ2132" s="3"/>
      <c r="BA2132" s="3"/>
      <c r="BB2132" s="3"/>
      <c r="BC2132" s="3"/>
      <c r="BD2132" s="3"/>
      <c r="BE2132" s="3"/>
      <c r="BF2132" s="3"/>
      <c r="BG2132" s="3"/>
      <c r="BH2132" s="3"/>
      <c r="BI2132" s="3"/>
      <c r="BJ2132" s="3"/>
      <c r="BK2132" s="3"/>
      <c r="BL2132" s="3"/>
      <c r="BM2132" s="3"/>
      <c r="BN2132" s="3"/>
      <c r="BO2132" s="3"/>
      <c r="BP2132" s="3"/>
      <c r="BQ2132" s="3"/>
      <c r="BR2132" s="3"/>
      <c r="BS2132" s="3"/>
      <c r="BT2132" s="3"/>
      <c r="BU2132" s="3"/>
      <c r="BV2132" s="3"/>
      <c r="BW2132" s="3"/>
      <c r="BX2132" s="3"/>
      <c r="BY2132" s="3"/>
      <c r="BZ2132" s="3"/>
      <c r="CA2132" s="3"/>
      <c r="CB2132" s="3"/>
      <c r="CC2132" s="3"/>
      <c r="CD2132" s="3"/>
      <c r="CE2132" s="3"/>
      <c r="CF2132" s="3"/>
      <c r="CG2132" s="3"/>
    </row>
    <row r="2133" spans="34:85" x14ac:dyDescent="0.2">
      <c r="AH2133" s="3"/>
      <c r="AI2133" s="3"/>
      <c r="AJ2133" s="3"/>
      <c r="AK2133" s="3"/>
      <c r="AL2133" s="3"/>
      <c r="AM2133" s="3"/>
      <c r="AN2133" s="3"/>
      <c r="AO2133" s="3"/>
      <c r="AP2133" s="3"/>
      <c r="AQ2133" s="3"/>
      <c r="AR2133" s="3"/>
      <c r="AS2133" s="3"/>
      <c r="AT2133" s="3"/>
      <c r="AU2133" s="3"/>
      <c r="AV2133" s="3"/>
      <c r="AW2133" s="3"/>
      <c r="AX2133" s="3"/>
      <c r="AY2133" s="3"/>
      <c r="AZ2133" s="3"/>
      <c r="BA2133" s="3"/>
      <c r="BB2133" s="3"/>
      <c r="BC2133" s="3"/>
      <c r="BD2133" s="3"/>
      <c r="BE2133" s="3"/>
      <c r="BF2133" s="3"/>
      <c r="BG2133" s="3"/>
      <c r="BH2133" s="3"/>
      <c r="BI2133" s="3"/>
      <c r="BJ2133" s="3"/>
      <c r="BK2133" s="3"/>
      <c r="BL2133" s="3"/>
      <c r="BM2133" s="3"/>
      <c r="BN2133" s="3"/>
      <c r="BO2133" s="3"/>
      <c r="BP2133" s="3"/>
      <c r="BQ2133" s="3"/>
      <c r="BR2133" s="3"/>
      <c r="BS2133" s="3"/>
      <c r="BT2133" s="3"/>
      <c r="BU2133" s="3"/>
      <c r="BV2133" s="3"/>
      <c r="BW2133" s="3"/>
      <c r="BX2133" s="3"/>
      <c r="BY2133" s="3"/>
      <c r="BZ2133" s="3"/>
      <c r="CA2133" s="3"/>
      <c r="CB2133" s="3"/>
      <c r="CC2133" s="3"/>
      <c r="CD2133" s="3"/>
      <c r="CE2133" s="3"/>
      <c r="CF2133" s="3"/>
      <c r="CG2133" s="3"/>
    </row>
    <row r="2134" spans="34:85" x14ac:dyDescent="0.2">
      <c r="AH2134" s="3"/>
      <c r="AI2134" s="3"/>
      <c r="AJ2134" s="3"/>
      <c r="AK2134" s="3"/>
      <c r="AL2134" s="3"/>
      <c r="AM2134" s="3"/>
      <c r="AN2134" s="3"/>
      <c r="AO2134" s="3"/>
      <c r="AP2134" s="3"/>
      <c r="AQ2134" s="3"/>
      <c r="AR2134" s="3"/>
      <c r="AS2134" s="3"/>
      <c r="AT2134" s="3"/>
      <c r="AU2134" s="3"/>
      <c r="AV2134" s="3"/>
      <c r="AW2134" s="3"/>
      <c r="AX2134" s="3"/>
      <c r="AY2134" s="3"/>
      <c r="AZ2134" s="3"/>
      <c r="BA2134" s="3"/>
      <c r="BB2134" s="3"/>
      <c r="BC2134" s="3"/>
      <c r="BD2134" s="3"/>
      <c r="BE2134" s="3"/>
      <c r="BF2134" s="3"/>
      <c r="BG2134" s="3"/>
      <c r="BH2134" s="3"/>
      <c r="BI2134" s="3"/>
      <c r="BJ2134" s="3"/>
      <c r="BK2134" s="3"/>
      <c r="BL2134" s="3"/>
      <c r="BM2134" s="3"/>
      <c r="BN2134" s="3"/>
      <c r="BO2134" s="3"/>
      <c r="BP2134" s="3"/>
      <c r="BQ2134" s="3"/>
      <c r="BR2134" s="3"/>
      <c r="BS2134" s="3"/>
      <c r="BT2134" s="3"/>
      <c r="BU2134" s="3"/>
      <c r="BV2134" s="3"/>
      <c r="BW2134" s="3"/>
      <c r="BX2134" s="3"/>
      <c r="BY2134" s="3"/>
      <c r="BZ2134" s="3"/>
      <c r="CA2134" s="3"/>
      <c r="CB2134" s="3"/>
      <c r="CC2134" s="3"/>
      <c r="CD2134" s="3"/>
      <c r="CE2134" s="3"/>
      <c r="CF2134" s="3"/>
      <c r="CG2134" s="3"/>
    </row>
    <row r="2135" spans="34:85" x14ac:dyDescent="0.2">
      <c r="AH2135" s="3"/>
      <c r="AI2135" s="3"/>
      <c r="AJ2135" s="3"/>
      <c r="AK2135" s="3"/>
      <c r="AL2135" s="3"/>
      <c r="AM2135" s="3"/>
      <c r="AN2135" s="3"/>
      <c r="AO2135" s="3"/>
      <c r="AP2135" s="3"/>
      <c r="AQ2135" s="3"/>
      <c r="AR2135" s="3"/>
      <c r="AS2135" s="3"/>
      <c r="AT2135" s="3"/>
      <c r="AU2135" s="3"/>
      <c r="AV2135" s="3"/>
      <c r="AW2135" s="3"/>
      <c r="AX2135" s="3"/>
      <c r="AY2135" s="3"/>
      <c r="AZ2135" s="3"/>
      <c r="BA2135" s="3"/>
      <c r="BB2135" s="3"/>
      <c r="BC2135" s="3"/>
      <c r="BD2135" s="3"/>
      <c r="BE2135" s="3"/>
      <c r="BF2135" s="3"/>
      <c r="BG2135" s="3"/>
      <c r="BH2135" s="3"/>
      <c r="BI2135" s="3"/>
      <c r="BJ2135" s="3"/>
      <c r="BK2135" s="3"/>
      <c r="BL2135" s="3"/>
      <c r="BM2135" s="3"/>
      <c r="BN2135" s="3"/>
      <c r="BO2135" s="3"/>
      <c r="BP2135" s="3"/>
      <c r="BQ2135" s="3"/>
      <c r="BR2135" s="3"/>
      <c r="BS2135" s="3"/>
      <c r="BT2135" s="3"/>
      <c r="BU2135" s="3"/>
      <c r="BV2135" s="3"/>
      <c r="BW2135" s="3"/>
      <c r="BX2135" s="3"/>
      <c r="BY2135" s="3"/>
      <c r="BZ2135" s="3"/>
      <c r="CA2135" s="3"/>
      <c r="CB2135" s="3"/>
      <c r="CC2135" s="3"/>
      <c r="CD2135" s="3"/>
      <c r="CE2135" s="3"/>
      <c r="CF2135" s="3"/>
      <c r="CG2135" s="3"/>
    </row>
    <row r="2136" spans="34:85" x14ac:dyDescent="0.2">
      <c r="AH2136" s="3"/>
      <c r="AI2136" s="3"/>
      <c r="AJ2136" s="3"/>
      <c r="AK2136" s="3"/>
      <c r="AL2136" s="3"/>
      <c r="AM2136" s="3"/>
      <c r="AN2136" s="3"/>
      <c r="AO2136" s="3"/>
      <c r="AP2136" s="3"/>
      <c r="AQ2136" s="3"/>
      <c r="AR2136" s="3"/>
      <c r="AS2136" s="3"/>
      <c r="AT2136" s="3"/>
      <c r="AU2136" s="3"/>
      <c r="AV2136" s="3"/>
      <c r="AW2136" s="3"/>
      <c r="AX2136" s="3"/>
      <c r="AY2136" s="3"/>
      <c r="AZ2136" s="3"/>
      <c r="BA2136" s="3"/>
      <c r="BB2136" s="3"/>
      <c r="BC2136" s="3"/>
      <c r="BD2136" s="3"/>
      <c r="BE2136" s="3"/>
      <c r="BF2136" s="3"/>
      <c r="BG2136" s="3"/>
      <c r="BH2136" s="3"/>
      <c r="BI2136" s="3"/>
      <c r="BJ2136" s="3"/>
      <c r="BK2136" s="3"/>
      <c r="BL2136" s="3"/>
      <c r="BM2136" s="3"/>
      <c r="BN2136" s="3"/>
      <c r="BO2136" s="3"/>
      <c r="BP2136" s="3"/>
      <c r="BQ2136" s="3"/>
      <c r="BR2136" s="3"/>
      <c r="BS2136" s="3"/>
      <c r="BT2136" s="3"/>
      <c r="BU2136" s="3"/>
      <c r="BV2136" s="3"/>
      <c r="BW2136" s="3"/>
      <c r="BX2136" s="3"/>
      <c r="BY2136" s="3"/>
      <c r="BZ2136" s="3"/>
      <c r="CA2136" s="3"/>
      <c r="CB2136" s="3"/>
      <c r="CC2136" s="3"/>
      <c r="CD2136" s="3"/>
      <c r="CE2136" s="3"/>
      <c r="CF2136" s="3"/>
      <c r="CG2136" s="3"/>
    </row>
    <row r="2137" spans="34:85" x14ac:dyDescent="0.2">
      <c r="AH2137" s="3"/>
      <c r="AI2137" s="3"/>
      <c r="AJ2137" s="3"/>
      <c r="AK2137" s="3"/>
      <c r="AL2137" s="3"/>
      <c r="AM2137" s="3"/>
      <c r="AN2137" s="3"/>
      <c r="AO2137" s="3"/>
      <c r="AP2137" s="3"/>
      <c r="AQ2137" s="3"/>
      <c r="AR2137" s="3"/>
      <c r="AS2137" s="3"/>
      <c r="AT2137" s="3"/>
      <c r="AU2137" s="3"/>
      <c r="AV2137" s="3"/>
      <c r="AW2137" s="3"/>
      <c r="AX2137" s="3"/>
      <c r="AY2137" s="3"/>
      <c r="AZ2137" s="3"/>
      <c r="BA2137" s="3"/>
      <c r="BB2137" s="3"/>
      <c r="BC2137" s="3"/>
      <c r="BD2137" s="3"/>
      <c r="BE2137" s="3"/>
      <c r="BF2137" s="3"/>
      <c r="BG2137" s="3"/>
      <c r="BH2137" s="3"/>
      <c r="BI2137" s="3"/>
      <c r="BJ2137" s="3"/>
      <c r="BK2137" s="3"/>
      <c r="BL2137" s="3"/>
      <c r="BM2137" s="3"/>
      <c r="BN2137" s="3"/>
      <c r="BO2137" s="3"/>
      <c r="BP2137" s="3"/>
      <c r="BQ2137" s="3"/>
      <c r="BR2137" s="3"/>
      <c r="BS2137" s="3"/>
      <c r="BT2137" s="3"/>
      <c r="BU2137" s="3"/>
      <c r="BV2137" s="3"/>
      <c r="BW2137" s="3"/>
      <c r="BX2137" s="3"/>
      <c r="BY2137" s="3"/>
      <c r="BZ2137" s="3"/>
      <c r="CA2137" s="3"/>
      <c r="CB2137" s="3"/>
      <c r="CC2137" s="3"/>
      <c r="CD2137" s="3"/>
      <c r="CE2137" s="3"/>
      <c r="CF2137" s="3"/>
      <c r="CG2137" s="3"/>
    </row>
    <row r="2138" spans="34:85" x14ac:dyDescent="0.2">
      <c r="AH2138" s="3"/>
      <c r="AI2138" s="3"/>
      <c r="AJ2138" s="3"/>
      <c r="AK2138" s="3"/>
      <c r="AL2138" s="3"/>
      <c r="AM2138" s="3"/>
      <c r="AN2138" s="3"/>
      <c r="AO2138" s="3"/>
      <c r="AP2138" s="3"/>
      <c r="AQ2138" s="3"/>
      <c r="AR2138" s="3"/>
      <c r="AS2138" s="3"/>
      <c r="AT2138" s="3"/>
      <c r="AU2138" s="3"/>
      <c r="AV2138" s="3"/>
      <c r="AW2138" s="3"/>
      <c r="AX2138" s="3"/>
      <c r="AY2138" s="3"/>
      <c r="AZ2138" s="3"/>
      <c r="BA2138" s="3"/>
      <c r="BB2138" s="3"/>
      <c r="BC2138" s="3"/>
      <c r="BD2138" s="3"/>
      <c r="BE2138" s="3"/>
      <c r="BF2138" s="3"/>
      <c r="BG2138" s="3"/>
      <c r="BH2138" s="3"/>
      <c r="BI2138" s="3"/>
      <c r="BJ2138" s="3"/>
      <c r="BK2138" s="3"/>
      <c r="BL2138" s="3"/>
      <c r="BM2138" s="3"/>
      <c r="BN2138" s="3"/>
      <c r="BO2138" s="3"/>
      <c r="BP2138" s="3"/>
      <c r="BQ2138" s="3"/>
      <c r="BR2138" s="3"/>
      <c r="BS2138" s="3"/>
      <c r="BT2138" s="3"/>
      <c r="BU2138" s="3"/>
      <c r="BV2138" s="3"/>
      <c r="BW2138" s="3"/>
      <c r="BX2138" s="3"/>
      <c r="BY2138" s="3"/>
      <c r="BZ2138" s="3"/>
      <c r="CA2138" s="3"/>
      <c r="CB2138" s="3"/>
      <c r="CC2138" s="3"/>
      <c r="CD2138" s="3"/>
      <c r="CE2138" s="3"/>
      <c r="CF2138" s="3"/>
      <c r="CG2138" s="3"/>
    </row>
  </sheetData>
  <sheetProtection formatCells="0"/>
  <mergeCells count="22">
    <mergeCell ref="E43:F43"/>
    <mergeCell ref="E41:F41"/>
    <mergeCell ref="U43:V43"/>
    <mergeCell ref="U41:V41"/>
    <mergeCell ref="M43:N43"/>
    <mergeCell ref="M41:N41"/>
    <mergeCell ref="B2:CN2"/>
    <mergeCell ref="B39:Q39"/>
    <mergeCell ref="R39:W39"/>
    <mergeCell ref="AQ5:AX5"/>
    <mergeCell ref="AI5:AP5"/>
    <mergeCell ref="B5:B6"/>
    <mergeCell ref="C5:J5"/>
    <mergeCell ref="K5:R5"/>
    <mergeCell ref="AA5:AH5"/>
    <mergeCell ref="S5:Z5"/>
    <mergeCell ref="CM5:CN5"/>
    <mergeCell ref="CE5:CL5"/>
    <mergeCell ref="AY5:BF5"/>
    <mergeCell ref="BG5:BN5"/>
    <mergeCell ref="BW5:CD5"/>
    <mergeCell ref="BO5:BV5"/>
  </mergeCells>
  <phoneticPr fontId="2" type="noConversion"/>
  <conditionalFormatting sqref="U41:V41 E43:F43 M41:N41 M43:N43 E41:F41">
    <cfRule type="cellIs" dxfId="754" priority="10061" stopIfTrue="1" operator="equal">
      <formula>0</formula>
    </cfRule>
  </conditionalFormatting>
  <conditionalFormatting sqref="E7:E37 M7:M37 U7:U37 AC7:AC37 AK7:AK37 AS7:AS37 BA7:BA37 BI7:BI37 BQ7:BQ37 BY7:BY37 CG7:CG37">
    <cfRule type="cellIs" dxfId="753" priority="10064" stopIfTrue="1" operator="equal">
      <formula>"D"</formula>
    </cfRule>
  </conditionalFormatting>
  <conditionalFormatting sqref="U43:V43">
    <cfRule type="cellIs" dxfId="752" priority="10065" stopIfTrue="1" operator="equal">
      <formula>$R$39</formula>
    </cfRule>
    <cfRule type="cellIs" dxfId="751" priority="10066" stopIfTrue="1" operator="greaterThan">
      <formula>$R$39</formula>
    </cfRule>
    <cfRule type="cellIs" dxfId="750" priority="10067" stopIfTrue="1" operator="lessThan">
      <formula>$R$39</formula>
    </cfRule>
  </conditionalFormatting>
  <conditionalFormatting sqref="K9:L37 BG7:BH37 BW7:BX37 CM7:CN37 BO7:BP37 S7:T37 AA7:AB37 AI7:AJ37 AQ7:AR37 AY7:AZ37 F22:J24 F26:J26 F25:I25 CE7:CF37 AH22:AH23 J32:J35 F29:J29 F30:G30 I30:J30 F32:G32 F34 N9:O9 N8 P8:R8 R9 R7 F9:J13 G8:J8 G7:L7 F36:J37 V10:Z10 V7:W9 Y7:Z9 F28 H28:J28">
    <cfRule type="cellIs" dxfId="749" priority="9047" stopIfTrue="1" operator="equal">
      <formula>"S"</formula>
    </cfRule>
    <cfRule type="cellIs" dxfId="748" priority="9048" stopIfTrue="1" operator="equal">
      <formula>"D"</formula>
    </cfRule>
  </conditionalFormatting>
  <conditionalFormatting sqref="AC41">
    <cfRule type="cellIs" dxfId="747" priority="8944" stopIfTrue="1" operator="equal">
      <formula>"S"</formula>
    </cfRule>
    <cfRule type="cellIs" dxfId="746" priority="8945" stopIfTrue="1" operator="equal">
      <formula>"D"</formula>
    </cfRule>
  </conditionalFormatting>
  <conditionalFormatting sqref="AC41">
    <cfRule type="cellIs" dxfId="745" priority="8942" stopIfTrue="1" operator="equal">
      <formula>"S"</formula>
    </cfRule>
    <cfRule type="cellIs" dxfId="744" priority="8943" stopIfTrue="1" operator="equal">
      <formula>"D"</formula>
    </cfRule>
  </conditionalFormatting>
  <conditionalFormatting sqref="AC41">
    <cfRule type="cellIs" dxfId="743" priority="8940" stopIfTrue="1" operator="equal">
      <formula>"S"</formula>
    </cfRule>
    <cfRule type="cellIs" dxfId="742" priority="8941" stopIfTrue="1" operator="equal">
      <formula>"D"</formula>
    </cfRule>
  </conditionalFormatting>
  <conditionalFormatting sqref="AC41">
    <cfRule type="cellIs" dxfId="741" priority="8938" stopIfTrue="1" operator="equal">
      <formula>"S"</formula>
    </cfRule>
    <cfRule type="cellIs" dxfId="740" priority="8939" stopIfTrue="1" operator="equal">
      <formula>"D"</formula>
    </cfRule>
  </conditionalFormatting>
  <conditionalFormatting sqref="AC41">
    <cfRule type="cellIs" dxfId="739" priority="8936" stopIfTrue="1" operator="equal">
      <formula>"S"</formula>
    </cfRule>
    <cfRule type="cellIs" dxfId="738" priority="8937" stopIfTrue="1" operator="equal">
      <formula>"D"</formula>
    </cfRule>
  </conditionalFormatting>
  <conditionalFormatting sqref="AC43">
    <cfRule type="cellIs" dxfId="737" priority="8934" stopIfTrue="1" operator="equal">
      <formula>"S"</formula>
    </cfRule>
    <cfRule type="cellIs" dxfId="736" priority="8935" stopIfTrue="1" operator="equal">
      <formula>"D"</formula>
    </cfRule>
  </conditionalFormatting>
  <conditionalFormatting sqref="AC43">
    <cfRule type="cellIs" dxfId="735" priority="8932" stopIfTrue="1" operator="equal">
      <formula>"S"</formula>
    </cfRule>
    <cfRule type="cellIs" dxfId="734" priority="8933" stopIfTrue="1" operator="equal">
      <formula>"D"</formula>
    </cfRule>
  </conditionalFormatting>
  <conditionalFormatting sqref="AK41">
    <cfRule type="cellIs" dxfId="733" priority="8930" stopIfTrue="1" operator="equal">
      <formula>"S"</formula>
    </cfRule>
    <cfRule type="cellIs" dxfId="732" priority="8931" stopIfTrue="1" operator="equal">
      <formula>"D"</formula>
    </cfRule>
  </conditionalFormatting>
  <conditionalFormatting sqref="AK41">
    <cfRule type="cellIs" dxfId="731" priority="8928" stopIfTrue="1" operator="equal">
      <formula>"S"</formula>
    </cfRule>
    <cfRule type="cellIs" dxfId="730" priority="8929" stopIfTrue="1" operator="equal">
      <formula>"D"</formula>
    </cfRule>
  </conditionalFormatting>
  <conditionalFormatting sqref="AK43">
    <cfRule type="cellIs" dxfId="729" priority="8926" stopIfTrue="1" operator="equal">
      <formula>"S"</formula>
    </cfRule>
    <cfRule type="cellIs" dxfId="728" priority="8927" stopIfTrue="1" operator="equal">
      <formula>"D"</formula>
    </cfRule>
  </conditionalFormatting>
  <conditionalFormatting sqref="AK43">
    <cfRule type="cellIs" dxfId="727" priority="8924" stopIfTrue="1" operator="equal">
      <formula>"S"</formula>
    </cfRule>
    <cfRule type="cellIs" dxfId="726" priority="8925" stopIfTrue="1" operator="equal">
      <formula>"D"</formula>
    </cfRule>
  </conditionalFormatting>
  <conditionalFormatting sqref="F37:J37 H36:J36 I29 F31:F32 J31:J35">
    <cfRule type="cellIs" dxfId="725" priority="8744" stopIfTrue="1" operator="equal">
      <formula>"S"</formula>
    </cfRule>
    <cfRule type="cellIs" dxfId="724" priority="8745" stopIfTrue="1" operator="equal">
      <formula>"D"</formula>
    </cfRule>
  </conditionalFormatting>
  <conditionalFormatting sqref="F30">
    <cfRule type="cellIs" dxfId="723" priority="7034" stopIfTrue="1" operator="equal">
      <formula>"S"</formula>
    </cfRule>
    <cfRule type="cellIs" dxfId="722" priority="7035" stopIfTrue="1" operator="equal">
      <formula>"D"</formula>
    </cfRule>
  </conditionalFormatting>
  <conditionalFormatting sqref="F30">
    <cfRule type="cellIs" dxfId="721" priority="7032" stopIfTrue="1" operator="equal">
      <formula>"S"</formula>
    </cfRule>
    <cfRule type="cellIs" dxfId="720" priority="7033" stopIfTrue="1" operator="equal">
      <formula>"D"</formula>
    </cfRule>
  </conditionalFormatting>
  <conditionalFormatting sqref="H29">
    <cfRule type="cellIs" dxfId="719" priority="6620" stopIfTrue="1" operator="equal">
      <formula>"S"</formula>
    </cfRule>
    <cfRule type="cellIs" dxfId="718" priority="6621" stopIfTrue="1" operator="equal">
      <formula>"D"</formula>
    </cfRule>
  </conditionalFormatting>
  <conditionalFormatting sqref="G32">
    <cfRule type="cellIs" dxfId="717" priority="6614" stopIfTrue="1" operator="equal">
      <formula>"S"</formula>
    </cfRule>
    <cfRule type="cellIs" dxfId="716" priority="6615" stopIfTrue="1" operator="equal">
      <formula>"D"</formula>
    </cfRule>
  </conditionalFormatting>
  <conditionalFormatting sqref="F36">
    <cfRule type="cellIs" dxfId="715" priority="6152" stopIfTrue="1" operator="equal">
      <formula>"S"</formula>
    </cfRule>
    <cfRule type="cellIs" dxfId="714" priority="6153" stopIfTrue="1" operator="equal">
      <formula>"D"</formula>
    </cfRule>
  </conditionalFormatting>
  <conditionalFormatting sqref="F36">
    <cfRule type="cellIs" dxfId="713" priority="6150" stopIfTrue="1" operator="equal">
      <formula>"S"</formula>
    </cfRule>
    <cfRule type="cellIs" dxfId="712" priority="6151" stopIfTrue="1" operator="equal">
      <formula>"D"</formula>
    </cfRule>
  </conditionalFormatting>
  <conditionalFormatting sqref="G36">
    <cfRule type="cellIs" dxfId="711" priority="6148" stopIfTrue="1" operator="equal">
      <formula>"S"</formula>
    </cfRule>
    <cfRule type="cellIs" dxfId="710" priority="6149" stopIfTrue="1" operator="equal">
      <formula>"D"</formula>
    </cfRule>
  </conditionalFormatting>
  <conditionalFormatting sqref="G36">
    <cfRule type="cellIs" dxfId="709" priority="6146" stopIfTrue="1" operator="equal">
      <formula>"S"</formula>
    </cfRule>
    <cfRule type="cellIs" dxfId="708" priority="6147" stopIfTrue="1" operator="equal">
      <formula>"D"</formula>
    </cfRule>
  </conditionalFormatting>
  <conditionalFormatting sqref="I30">
    <cfRule type="cellIs" dxfId="707" priority="6616" stopIfTrue="1" operator="equal">
      <formula>"S"</formula>
    </cfRule>
    <cfRule type="cellIs" dxfId="706" priority="6617" stopIfTrue="1" operator="equal">
      <formula>"D"</formula>
    </cfRule>
  </conditionalFormatting>
  <conditionalFormatting sqref="F34">
    <cfRule type="cellIs" dxfId="705" priority="5850" stopIfTrue="1" operator="equal">
      <formula>"S"</formula>
    </cfRule>
    <cfRule type="cellIs" dxfId="704" priority="5851" stopIfTrue="1" operator="equal">
      <formula>"D"</formula>
    </cfRule>
  </conditionalFormatting>
  <conditionalFormatting sqref="G31:H31">
    <cfRule type="cellIs" dxfId="703" priority="5122" stopIfTrue="1" operator="equal">
      <formula>"S"</formula>
    </cfRule>
    <cfRule type="cellIs" dxfId="702" priority="5123" stopIfTrue="1" operator="equal">
      <formula>"D"</formula>
    </cfRule>
  </conditionalFormatting>
  <conditionalFormatting sqref="F29">
    <cfRule type="cellIs" dxfId="701" priority="4490" stopIfTrue="1" operator="equal">
      <formula>"S"</formula>
    </cfRule>
    <cfRule type="cellIs" dxfId="700" priority="4491" stopIfTrue="1" operator="equal">
      <formula>"D"</formula>
    </cfRule>
  </conditionalFormatting>
  <conditionalFormatting sqref="F21:H21 J21 F15:J20 F14 J14 H14 F31:H31 J31 F27 I27:J27">
    <cfRule type="cellIs" dxfId="699" priority="2980" stopIfTrue="1" operator="equal">
      <formula>"S"</formula>
    </cfRule>
    <cfRule type="cellIs" dxfId="698" priority="2981" stopIfTrue="1" operator="equal">
      <formula>"D"</formula>
    </cfRule>
  </conditionalFormatting>
  <conditionalFormatting sqref="G29">
    <cfRule type="cellIs" dxfId="697" priority="2526" stopIfTrue="1" operator="equal">
      <formula>"S"</formula>
    </cfRule>
    <cfRule type="cellIs" dxfId="696" priority="2527" stopIfTrue="1" operator="equal">
      <formula>"D"</formula>
    </cfRule>
  </conditionalFormatting>
  <conditionalFormatting sqref="G29">
    <cfRule type="cellIs" dxfId="695" priority="2524" stopIfTrue="1" operator="equal">
      <formula>"S"</formula>
    </cfRule>
    <cfRule type="cellIs" dxfId="694" priority="2525" stopIfTrue="1" operator="equal">
      <formula>"D"</formula>
    </cfRule>
  </conditionalFormatting>
  <conditionalFormatting sqref="G30">
    <cfRule type="cellIs" dxfId="693" priority="2522" stopIfTrue="1" operator="equal">
      <formula>"S"</formula>
    </cfRule>
    <cfRule type="cellIs" dxfId="692" priority="2523" stopIfTrue="1" operator="equal">
      <formula>"D"</formula>
    </cfRule>
  </conditionalFormatting>
  <conditionalFormatting sqref="G30">
    <cfRule type="cellIs" dxfId="691" priority="2520" stopIfTrue="1" operator="equal">
      <formula>"S"</formula>
    </cfRule>
    <cfRule type="cellIs" dxfId="690" priority="2521" stopIfTrue="1" operator="equal">
      <formula>"D"</formula>
    </cfRule>
  </conditionalFormatting>
  <conditionalFormatting sqref="H15">
    <cfRule type="cellIs" dxfId="689" priority="2502" stopIfTrue="1" operator="equal">
      <formula>"S"</formula>
    </cfRule>
    <cfRule type="cellIs" dxfId="688" priority="2503" stopIfTrue="1" operator="equal">
      <formula>"D"</formula>
    </cfRule>
  </conditionalFormatting>
  <conditionalFormatting sqref="H21">
    <cfRule type="cellIs" dxfId="687" priority="2472" stopIfTrue="1" operator="equal">
      <formula>"S"</formula>
    </cfRule>
    <cfRule type="cellIs" dxfId="686" priority="2473" stopIfTrue="1" operator="equal">
      <formula>"D"</formula>
    </cfRule>
  </conditionalFormatting>
  <conditionalFormatting sqref="F21">
    <cfRule type="cellIs" dxfId="685" priority="2470" stopIfTrue="1" operator="equal">
      <formula>"S"</formula>
    </cfRule>
    <cfRule type="cellIs" dxfId="684" priority="2471" stopIfTrue="1" operator="equal">
      <formula>"D"</formula>
    </cfRule>
  </conditionalFormatting>
  <conditionalFormatting sqref="J29">
    <cfRule type="cellIs" dxfId="683" priority="2448" stopIfTrue="1" operator="equal">
      <formula>"S"</formula>
    </cfRule>
    <cfRule type="cellIs" dxfId="682" priority="2449" stopIfTrue="1" operator="equal">
      <formula>"D"</formula>
    </cfRule>
  </conditionalFormatting>
  <conditionalFormatting sqref="J29">
    <cfRule type="cellIs" dxfId="681" priority="2446" stopIfTrue="1" operator="equal">
      <formula>"S"</formula>
    </cfRule>
    <cfRule type="cellIs" dxfId="680" priority="2447" stopIfTrue="1" operator="equal">
      <formula>"D"</formula>
    </cfRule>
  </conditionalFormatting>
  <conditionalFormatting sqref="J30">
    <cfRule type="cellIs" dxfId="679" priority="2444" stopIfTrue="1" operator="equal">
      <formula>"S"</formula>
    </cfRule>
    <cfRule type="cellIs" dxfId="678" priority="2445" stopIfTrue="1" operator="equal">
      <formula>"D"</formula>
    </cfRule>
  </conditionalFormatting>
  <conditionalFormatting sqref="J30">
    <cfRule type="cellIs" dxfId="677" priority="2442" stopIfTrue="1" operator="equal">
      <formula>"S"</formula>
    </cfRule>
    <cfRule type="cellIs" dxfId="676" priority="2443" stopIfTrue="1" operator="equal">
      <formula>"D"</formula>
    </cfRule>
  </conditionalFormatting>
  <conditionalFormatting sqref="H13">
    <cfRule type="cellIs" dxfId="675" priority="2404" stopIfTrue="1" operator="equal">
      <formula>"S"</formula>
    </cfRule>
    <cfRule type="cellIs" dxfId="674" priority="2405" stopIfTrue="1" operator="equal">
      <formula>"D"</formula>
    </cfRule>
  </conditionalFormatting>
  <conditionalFormatting sqref="H13">
    <cfRule type="cellIs" dxfId="673" priority="2402" stopIfTrue="1" operator="equal">
      <formula>"S"</formula>
    </cfRule>
    <cfRule type="cellIs" dxfId="672" priority="2403" stopIfTrue="1" operator="equal">
      <formula>"D"</formula>
    </cfRule>
  </conditionalFormatting>
  <conditionalFormatting sqref="H14">
    <cfRule type="cellIs" dxfId="671" priority="2400" stopIfTrue="1" operator="equal">
      <formula>"S"</formula>
    </cfRule>
    <cfRule type="cellIs" dxfId="670" priority="2401" stopIfTrue="1" operator="equal">
      <formula>"D"</formula>
    </cfRule>
  </conditionalFormatting>
  <conditionalFormatting sqref="H14">
    <cfRule type="cellIs" dxfId="669" priority="2398" stopIfTrue="1" operator="equal">
      <formula>"S"</formula>
    </cfRule>
    <cfRule type="cellIs" dxfId="668" priority="2399" stopIfTrue="1" operator="equal">
      <formula>"D"</formula>
    </cfRule>
  </conditionalFormatting>
  <conditionalFormatting sqref="G27:H27">
    <cfRule type="cellIs" dxfId="667" priority="1235" stopIfTrue="1" operator="equal">
      <formula>"S"</formula>
    </cfRule>
    <cfRule type="cellIs" dxfId="666" priority="1236" stopIfTrue="1" operator="equal">
      <formula>"D"</formula>
    </cfRule>
  </conditionalFormatting>
  <conditionalFormatting sqref="G27:H27">
    <cfRule type="cellIs" dxfId="665" priority="1233" stopIfTrue="1" operator="equal">
      <formula>"S"</formula>
    </cfRule>
    <cfRule type="cellIs" dxfId="664" priority="1234" stopIfTrue="1" operator="equal">
      <formula>"D"</formula>
    </cfRule>
  </conditionalFormatting>
  <conditionalFormatting sqref="G27:H27">
    <cfRule type="cellIs" dxfId="663" priority="1231" stopIfTrue="1" operator="equal">
      <formula>"S"</formula>
    </cfRule>
    <cfRule type="cellIs" dxfId="662" priority="1232" stopIfTrue="1" operator="equal">
      <formula>"D"</formula>
    </cfRule>
  </conditionalFormatting>
  <conditionalFormatting sqref="G27:H27">
    <cfRule type="cellIs" dxfId="661" priority="1229" stopIfTrue="1" operator="equal">
      <formula>"S"</formula>
    </cfRule>
    <cfRule type="cellIs" dxfId="660" priority="1230" stopIfTrue="1" operator="equal">
      <formula>"D"</formula>
    </cfRule>
  </conditionalFormatting>
  <conditionalFormatting sqref="G27:H27">
    <cfRule type="cellIs" dxfId="659" priority="1237" stopIfTrue="1" operator="equal">
      <formula>"S"</formula>
    </cfRule>
    <cfRule type="cellIs" dxfId="658" priority="1238" stopIfTrue="1" operator="equal">
      <formula>"D"</formula>
    </cfRule>
  </conditionalFormatting>
  <conditionalFormatting sqref="N37:R37 P36:R36 Q34:R34 R35">
    <cfRule type="cellIs" dxfId="657" priority="1103" stopIfTrue="1" operator="equal">
      <formula>"S"</formula>
    </cfRule>
    <cfRule type="cellIs" dxfId="656" priority="1104" stopIfTrue="1" operator="equal">
      <formula>"D"</formula>
    </cfRule>
  </conditionalFormatting>
  <conditionalFormatting sqref="O35">
    <cfRule type="cellIs" dxfId="655" priority="1087" stopIfTrue="1" operator="equal">
      <formula>"S"</formula>
    </cfRule>
    <cfRule type="cellIs" dxfId="654" priority="1088" stopIfTrue="1" operator="equal">
      <formula>"D"</formula>
    </cfRule>
  </conditionalFormatting>
  <conditionalFormatting sqref="O35">
    <cfRule type="cellIs" dxfId="653" priority="1085" stopIfTrue="1" operator="equal">
      <formula>"S"</formula>
    </cfRule>
    <cfRule type="cellIs" dxfId="652" priority="1086" stopIfTrue="1" operator="equal">
      <formula>"D"</formula>
    </cfRule>
  </conditionalFormatting>
  <conditionalFormatting sqref="O34">
    <cfRule type="cellIs" dxfId="651" priority="1083" stopIfTrue="1" operator="equal">
      <formula>"S"</formula>
    </cfRule>
    <cfRule type="cellIs" dxfId="650" priority="1084" stopIfTrue="1" operator="equal">
      <formula>"D"</formula>
    </cfRule>
  </conditionalFormatting>
  <conditionalFormatting sqref="N36">
    <cfRule type="cellIs" dxfId="649" priority="1081" stopIfTrue="1" operator="equal">
      <formula>"S"</formula>
    </cfRule>
    <cfRule type="cellIs" dxfId="648" priority="1082" stopIfTrue="1" operator="equal">
      <formula>"D"</formula>
    </cfRule>
  </conditionalFormatting>
  <conditionalFormatting sqref="N36">
    <cfRule type="cellIs" dxfId="647" priority="1079" stopIfTrue="1" operator="equal">
      <formula>"S"</formula>
    </cfRule>
    <cfRule type="cellIs" dxfId="646" priority="1080" stopIfTrue="1" operator="equal">
      <formula>"D"</formula>
    </cfRule>
  </conditionalFormatting>
  <conditionalFormatting sqref="O36">
    <cfRule type="cellIs" dxfId="645" priority="1077" stopIfTrue="1" operator="equal">
      <formula>"S"</formula>
    </cfRule>
    <cfRule type="cellIs" dxfId="644" priority="1078" stopIfTrue="1" operator="equal">
      <formula>"D"</formula>
    </cfRule>
  </conditionalFormatting>
  <conditionalFormatting sqref="O36">
    <cfRule type="cellIs" dxfId="643" priority="1075" stopIfTrue="1" operator="equal">
      <formula>"S"</formula>
    </cfRule>
    <cfRule type="cellIs" dxfId="642" priority="1076" stopIfTrue="1" operator="equal">
      <formula>"D"</formula>
    </cfRule>
  </conditionalFormatting>
  <conditionalFormatting sqref="N35">
    <cfRule type="cellIs" dxfId="641" priority="1091" stopIfTrue="1" operator="equal">
      <formula>"S"</formula>
    </cfRule>
    <cfRule type="cellIs" dxfId="640" priority="1092" stopIfTrue="1" operator="equal">
      <formula>"D"</formula>
    </cfRule>
  </conditionalFormatting>
  <conditionalFormatting sqref="N35">
    <cfRule type="cellIs" dxfId="639" priority="1089" stopIfTrue="1" operator="equal">
      <formula>"S"</formula>
    </cfRule>
    <cfRule type="cellIs" dxfId="638" priority="1090" stopIfTrue="1" operator="equal">
      <formula>"D"</formula>
    </cfRule>
  </conditionalFormatting>
  <conditionalFormatting sqref="N34">
    <cfRule type="cellIs" dxfId="637" priority="1073" stopIfTrue="1" operator="equal">
      <formula>"S"</formula>
    </cfRule>
    <cfRule type="cellIs" dxfId="636" priority="1074" stopIfTrue="1" operator="equal">
      <formula>"D"</formula>
    </cfRule>
  </conditionalFormatting>
  <conditionalFormatting sqref="N34:R37">
    <cfRule type="cellIs" dxfId="635" priority="1067" stopIfTrue="1" operator="equal">
      <formula>"S"</formula>
    </cfRule>
    <cfRule type="cellIs" dxfId="634" priority="1068" stopIfTrue="1" operator="equal">
      <formula>"D"</formula>
    </cfRule>
  </conditionalFormatting>
  <conditionalFormatting sqref="V37:Z37 X36:Z36 Z35">
    <cfRule type="cellIs" dxfId="633" priority="1025" stopIfTrue="1" operator="equal">
      <formula>"S"</formula>
    </cfRule>
    <cfRule type="cellIs" dxfId="632" priority="1026" stopIfTrue="1" operator="equal">
      <formula>"D"</formula>
    </cfRule>
  </conditionalFormatting>
  <conditionalFormatting sqref="W35">
    <cfRule type="cellIs" dxfId="631" priority="1009" stopIfTrue="1" operator="equal">
      <formula>"S"</formula>
    </cfRule>
    <cfRule type="cellIs" dxfId="630" priority="1010" stopIfTrue="1" operator="equal">
      <formula>"D"</formula>
    </cfRule>
  </conditionalFormatting>
  <conditionalFormatting sqref="W35">
    <cfRule type="cellIs" dxfId="629" priority="1007" stopIfTrue="1" operator="equal">
      <formula>"S"</formula>
    </cfRule>
    <cfRule type="cellIs" dxfId="628" priority="1008" stopIfTrue="1" operator="equal">
      <formula>"D"</formula>
    </cfRule>
  </conditionalFormatting>
  <conditionalFormatting sqref="V36">
    <cfRule type="cellIs" dxfId="627" priority="1003" stopIfTrue="1" operator="equal">
      <formula>"S"</formula>
    </cfRule>
    <cfRule type="cellIs" dxfId="626" priority="1004" stopIfTrue="1" operator="equal">
      <formula>"D"</formula>
    </cfRule>
  </conditionalFormatting>
  <conditionalFormatting sqref="V36">
    <cfRule type="cellIs" dxfId="625" priority="1001" stopIfTrue="1" operator="equal">
      <formula>"S"</formula>
    </cfRule>
    <cfRule type="cellIs" dxfId="624" priority="1002" stopIfTrue="1" operator="equal">
      <formula>"D"</formula>
    </cfRule>
  </conditionalFormatting>
  <conditionalFormatting sqref="W36">
    <cfRule type="cellIs" dxfId="623" priority="999" stopIfTrue="1" operator="equal">
      <formula>"S"</formula>
    </cfRule>
    <cfRule type="cellIs" dxfId="622" priority="1000" stopIfTrue="1" operator="equal">
      <formula>"D"</formula>
    </cfRule>
  </conditionalFormatting>
  <conditionalFormatting sqref="W36">
    <cfRule type="cellIs" dxfId="621" priority="997" stopIfTrue="1" operator="equal">
      <formula>"S"</formula>
    </cfRule>
    <cfRule type="cellIs" dxfId="620" priority="998" stopIfTrue="1" operator="equal">
      <formula>"D"</formula>
    </cfRule>
  </conditionalFormatting>
  <conditionalFormatting sqref="V35">
    <cfRule type="cellIs" dxfId="619" priority="1013" stopIfTrue="1" operator="equal">
      <formula>"S"</formula>
    </cfRule>
    <cfRule type="cellIs" dxfId="618" priority="1014" stopIfTrue="1" operator="equal">
      <formula>"D"</formula>
    </cfRule>
  </conditionalFormatting>
  <conditionalFormatting sqref="V35">
    <cfRule type="cellIs" dxfId="617" priority="1011" stopIfTrue="1" operator="equal">
      <formula>"S"</formula>
    </cfRule>
    <cfRule type="cellIs" dxfId="616" priority="1012" stopIfTrue="1" operator="equal">
      <formula>"D"</formula>
    </cfRule>
  </conditionalFormatting>
  <conditionalFormatting sqref="V35:Z37">
    <cfRule type="cellIs" dxfId="615" priority="989" stopIfTrue="1" operator="equal">
      <formula>"S"</formula>
    </cfRule>
    <cfRule type="cellIs" dxfId="614" priority="990" stopIfTrue="1" operator="equal">
      <formula>"D"</formula>
    </cfRule>
  </conditionalFormatting>
  <conditionalFormatting sqref="AD37:AH37 AF36:AH36 AH31:AH35">
    <cfRule type="cellIs" dxfId="613" priority="947" stopIfTrue="1" operator="equal">
      <formula>"S"</formula>
    </cfRule>
    <cfRule type="cellIs" dxfId="612" priority="948" stopIfTrue="1" operator="equal">
      <formula>"D"</formula>
    </cfRule>
  </conditionalFormatting>
  <conditionalFormatting sqref="AE35">
    <cfRule type="cellIs" dxfId="611" priority="931" stopIfTrue="1" operator="equal">
      <formula>"S"</formula>
    </cfRule>
    <cfRule type="cellIs" dxfId="610" priority="932" stopIfTrue="1" operator="equal">
      <formula>"D"</formula>
    </cfRule>
  </conditionalFormatting>
  <conditionalFormatting sqref="AE35">
    <cfRule type="cellIs" dxfId="609" priority="929" stopIfTrue="1" operator="equal">
      <formula>"S"</formula>
    </cfRule>
    <cfRule type="cellIs" dxfId="608" priority="930" stopIfTrue="1" operator="equal">
      <formula>"D"</formula>
    </cfRule>
  </conditionalFormatting>
  <conditionalFormatting sqref="AD36">
    <cfRule type="cellIs" dxfId="607" priority="925" stopIfTrue="1" operator="equal">
      <formula>"S"</formula>
    </cfRule>
    <cfRule type="cellIs" dxfId="606" priority="926" stopIfTrue="1" operator="equal">
      <formula>"D"</formula>
    </cfRule>
  </conditionalFormatting>
  <conditionalFormatting sqref="AD36">
    <cfRule type="cellIs" dxfId="605" priority="923" stopIfTrue="1" operator="equal">
      <formula>"S"</formula>
    </cfRule>
    <cfRule type="cellIs" dxfId="604" priority="924" stopIfTrue="1" operator="equal">
      <formula>"D"</formula>
    </cfRule>
  </conditionalFormatting>
  <conditionalFormatting sqref="AE36">
    <cfRule type="cellIs" dxfId="603" priority="921" stopIfTrue="1" operator="equal">
      <formula>"S"</formula>
    </cfRule>
    <cfRule type="cellIs" dxfId="602" priority="922" stopIfTrue="1" operator="equal">
      <formula>"D"</formula>
    </cfRule>
  </conditionalFormatting>
  <conditionalFormatting sqref="AE36">
    <cfRule type="cellIs" dxfId="601" priority="919" stopIfTrue="1" operator="equal">
      <formula>"S"</formula>
    </cfRule>
    <cfRule type="cellIs" dxfId="600" priority="920" stopIfTrue="1" operator="equal">
      <formula>"D"</formula>
    </cfRule>
  </conditionalFormatting>
  <conditionalFormatting sqref="AD35">
    <cfRule type="cellIs" dxfId="599" priority="935" stopIfTrue="1" operator="equal">
      <formula>"S"</formula>
    </cfRule>
    <cfRule type="cellIs" dxfId="598" priority="936" stopIfTrue="1" operator="equal">
      <formula>"D"</formula>
    </cfRule>
  </conditionalFormatting>
  <conditionalFormatting sqref="AD35">
    <cfRule type="cellIs" dxfId="597" priority="933" stopIfTrue="1" operator="equal">
      <formula>"S"</formula>
    </cfRule>
    <cfRule type="cellIs" dxfId="596" priority="934" stopIfTrue="1" operator="equal">
      <formula>"D"</formula>
    </cfRule>
  </conditionalFormatting>
  <conditionalFormatting sqref="AD7:AH7 AD35:AH37 AH24:AH34 AH8:AH21 AD8:AG34">
    <cfRule type="cellIs" dxfId="595" priority="911" stopIfTrue="1" operator="equal">
      <formula>"S"</formula>
    </cfRule>
    <cfRule type="cellIs" dxfId="594" priority="912" stopIfTrue="1" operator="equal">
      <formula>"D"</formula>
    </cfRule>
  </conditionalFormatting>
  <conditionalFormatting sqref="AH29">
    <cfRule type="cellIs" dxfId="593" priority="895" stopIfTrue="1" operator="equal">
      <formula>"S"</formula>
    </cfRule>
    <cfRule type="cellIs" dxfId="592" priority="896" stopIfTrue="1" operator="equal">
      <formula>"D"</formula>
    </cfRule>
  </conditionalFormatting>
  <conditionalFormatting sqref="AH29">
    <cfRule type="cellIs" dxfId="591" priority="893" stopIfTrue="1" operator="equal">
      <formula>"S"</formula>
    </cfRule>
    <cfRule type="cellIs" dxfId="590" priority="894" stopIfTrue="1" operator="equal">
      <formula>"D"</formula>
    </cfRule>
  </conditionalFormatting>
  <conditionalFormatting sqref="AH30">
    <cfRule type="cellIs" dxfId="589" priority="891" stopIfTrue="1" operator="equal">
      <formula>"S"</formula>
    </cfRule>
    <cfRule type="cellIs" dxfId="588" priority="892" stopIfTrue="1" operator="equal">
      <formula>"D"</formula>
    </cfRule>
  </conditionalFormatting>
  <conditionalFormatting sqref="AH30">
    <cfRule type="cellIs" dxfId="587" priority="889" stopIfTrue="1" operator="equal">
      <formula>"S"</formula>
    </cfRule>
    <cfRule type="cellIs" dxfId="586" priority="890" stopIfTrue="1" operator="equal">
      <formula>"D"</formula>
    </cfRule>
  </conditionalFormatting>
  <conditionalFormatting sqref="AL32:AP33 AL37:AP37 AN36:AP36 AL31 AP31 AO29 AO34:AP34 AP35">
    <cfRule type="cellIs" dxfId="585" priority="869" stopIfTrue="1" operator="equal">
      <formula>"S"</formula>
    </cfRule>
    <cfRule type="cellIs" dxfId="584" priority="870" stopIfTrue="1" operator="equal">
      <formula>"D"</formula>
    </cfRule>
  </conditionalFormatting>
  <conditionalFormatting sqref="AL30">
    <cfRule type="cellIs" dxfId="583" priority="867" stopIfTrue="1" operator="equal">
      <formula>"S"</formula>
    </cfRule>
    <cfRule type="cellIs" dxfId="582" priority="868" stopIfTrue="1" operator="equal">
      <formula>"D"</formula>
    </cfRule>
  </conditionalFormatting>
  <conditionalFormatting sqref="AL30">
    <cfRule type="cellIs" dxfId="581" priority="865" stopIfTrue="1" operator="equal">
      <formula>"S"</formula>
    </cfRule>
    <cfRule type="cellIs" dxfId="580" priority="866" stopIfTrue="1" operator="equal">
      <formula>"D"</formula>
    </cfRule>
  </conditionalFormatting>
  <conditionalFormatting sqref="AN29">
    <cfRule type="cellIs" dxfId="579" priority="863" stopIfTrue="1" operator="equal">
      <formula>"S"</formula>
    </cfRule>
    <cfRule type="cellIs" dxfId="578" priority="864" stopIfTrue="1" operator="equal">
      <formula>"D"</formula>
    </cfRule>
  </conditionalFormatting>
  <conditionalFormatting sqref="AN30">
    <cfRule type="cellIs" dxfId="577" priority="859" stopIfTrue="1" operator="equal">
      <formula>"S"</formula>
    </cfRule>
    <cfRule type="cellIs" dxfId="576" priority="860" stopIfTrue="1" operator="equal">
      <formula>"D"</formula>
    </cfRule>
  </conditionalFormatting>
  <conditionalFormatting sqref="AM35">
    <cfRule type="cellIs" dxfId="575" priority="853" stopIfTrue="1" operator="equal">
      <formula>"S"</formula>
    </cfRule>
    <cfRule type="cellIs" dxfId="574" priority="854" stopIfTrue="1" operator="equal">
      <formula>"D"</formula>
    </cfRule>
  </conditionalFormatting>
  <conditionalFormatting sqref="AM35">
    <cfRule type="cellIs" dxfId="573" priority="851" stopIfTrue="1" operator="equal">
      <formula>"S"</formula>
    </cfRule>
    <cfRule type="cellIs" dxfId="572" priority="852" stopIfTrue="1" operator="equal">
      <formula>"D"</formula>
    </cfRule>
  </conditionalFormatting>
  <conditionalFormatting sqref="AM34">
    <cfRule type="cellIs" dxfId="571" priority="849" stopIfTrue="1" operator="equal">
      <formula>"S"</formula>
    </cfRule>
    <cfRule type="cellIs" dxfId="570" priority="850" stopIfTrue="1" operator="equal">
      <formula>"D"</formula>
    </cfRule>
  </conditionalFormatting>
  <conditionalFormatting sqref="AL36">
    <cfRule type="cellIs" dxfId="569" priority="847" stopIfTrue="1" operator="equal">
      <formula>"S"</formula>
    </cfRule>
    <cfRule type="cellIs" dxfId="568" priority="848" stopIfTrue="1" operator="equal">
      <formula>"D"</formula>
    </cfRule>
  </conditionalFormatting>
  <conditionalFormatting sqref="AL36">
    <cfRule type="cellIs" dxfId="567" priority="845" stopIfTrue="1" operator="equal">
      <formula>"S"</formula>
    </cfRule>
    <cfRule type="cellIs" dxfId="566" priority="846" stopIfTrue="1" operator="equal">
      <formula>"D"</formula>
    </cfRule>
  </conditionalFormatting>
  <conditionalFormatting sqref="AM36">
    <cfRule type="cellIs" dxfId="565" priority="843" stopIfTrue="1" operator="equal">
      <formula>"S"</formula>
    </cfRule>
    <cfRule type="cellIs" dxfId="564" priority="844" stopIfTrue="1" operator="equal">
      <formula>"D"</formula>
    </cfRule>
  </conditionalFormatting>
  <conditionalFormatting sqref="AM36">
    <cfRule type="cellIs" dxfId="563" priority="841" stopIfTrue="1" operator="equal">
      <formula>"S"</formula>
    </cfRule>
    <cfRule type="cellIs" dxfId="562" priority="842" stopIfTrue="1" operator="equal">
      <formula>"D"</formula>
    </cfRule>
  </conditionalFormatting>
  <conditionalFormatting sqref="AO30">
    <cfRule type="cellIs" dxfId="561" priority="861" stopIfTrue="1" operator="equal">
      <formula>"S"</formula>
    </cfRule>
    <cfRule type="cellIs" dxfId="560" priority="862" stopIfTrue="1" operator="equal">
      <formula>"D"</formula>
    </cfRule>
  </conditionalFormatting>
  <conditionalFormatting sqref="AL35">
    <cfRule type="cellIs" dxfId="559" priority="857" stopIfTrue="1" operator="equal">
      <formula>"S"</formula>
    </cfRule>
    <cfRule type="cellIs" dxfId="558" priority="858" stopIfTrue="1" operator="equal">
      <formula>"D"</formula>
    </cfRule>
  </conditionalFormatting>
  <conditionalFormatting sqref="AL35">
    <cfRule type="cellIs" dxfId="557" priority="855" stopIfTrue="1" operator="equal">
      <formula>"S"</formula>
    </cfRule>
    <cfRule type="cellIs" dxfId="556" priority="856" stopIfTrue="1" operator="equal">
      <formula>"D"</formula>
    </cfRule>
  </conditionalFormatting>
  <conditionalFormatting sqref="AL34">
    <cfRule type="cellIs" dxfId="555" priority="839" stopIfTrue="1" operator="equal">
      <formula>"S"</formula>
    </cfRule>
    <cfRule type="cellIs" dxfId="554" priority="840" stopIfTrue="1" operator="equal">
      <formula>"D"</formula>
    </cfRule>
  </conditionalFormatting>
  <conditionalFormatting sqref="AM31:AN31">
    <cfRule type="cellIs" dxfId="553" priority="837" stopIfTrue="1" operator="equal">
      <formula>"S"</formula>
    </cfRule>
    <cfRule type="cellIs" dxfId="552" priority="838" stopIfTrue="1" operator="equal">
      <formula>"D"</formula>
    </cfRule>
  </conditionalFormatting>
  <conditionalFormatting sqref="AL29">
    <cfRule type="cellIs" dxfId="551" priority="835" stopIfTrue="1" operator="equal">
      <formula>"S"</formula>
    </cfRule>
    <cfRule type="cellIs" dxfId="550" priority="836" stopIfTrue="1" operator="equal">
      <formula>"D"</formula>
    </cfRule>
  </conditionalFormatting>
  <conditionalFormatting sqref="AL7:AP13 AL22:AP26 AL21 AP21 AL14 AP14 AN14 AL32:AP37 AL31:AN31 AP31 AL28:AP30 AL27 AO27:AP27 AL15:AP20">
    <cfRule type="cellIs" dxfId="549" priority="833" stopIfTrue="1" operator="equal">
      <formula>"S"</formula>
    </cfRule>
    <cfRule type="cellIs" dxfId="548" priority="834" stopIfTrue="1" operator="equal">
      <formula>"D"</formula>
    </cfRule>
  </conditionalFormatting>
  <conditionalFormatting sqref="AM29">
    <cfRule type="cellIs" dxfId="547" priority="831" stopIfTrue="1" operator="equal">
      <formula>"S"</formula>
    </cfRule>
    <cfRule type="cellIs" dxfId="546" priority="832" stopIfTrue="1" operator="equal">
      <formula>"D"</formula>
    </cfRule>
  </conditionalFormatting>
  <conditionalFormatting sqref="AM29">
    <cfRule type="cellIs" dxfId="545" priority="829" stopIfTrue="1" operator="equal">
      <formula>"S"</formula>
    </cfRule>
    <cfRule type="cellIs" dxfId="544" priority="830" stopIfTrue="1" operator="equal">
      <formula>"D"</formula>
    </cfRule>
  </conditionalFormatting>
  <conditionalFormatting sqref="AM30">
    <cfRule type="cellIs" dxfId="543" priority="827" stopIfTrue="1" operator="equal">
      <formula>"S"</formula>
    </cfRule>
    <cfRule type="cellIs" dxfId="542" priority="828" stopIfTrue="1" operator="equal">
      <formula>"D"</formula>
    </cfRule>
  </conditionalFormatting>
  <conditionalFormatting sqref="AM30">
    <cfRule type="cellIs" dxfId="541" priority="825" stopIfTrue="1" operator="equal">
      <formula>"S"</formula>
    </cfRule>
    <cfRule type="cellIs" dxfId="540" priority="826" stopIfTrue="1" operator="equal">
      <formula>"D"</formula>
    </cfRule>
  </conditionalFormatting>
  <conditionalFormatting sqref="AN15">
    <cfRule type="cellIs" dxfId="539" priority="823" stopIfTrue="1" operator="equal">
      <formula>"S"</formula>
    </cfRule>
    <cfRule type="cellIs" dxfId="538" priority="824" stopIfTrue="1" operator="equal">
      <formula>"D"</formula>
    </cfRule>
  </conditionalFormatting>
  <conditionalFormatting sqref="AN20">
    <cfRule type="cellIs" dxfId="537" priority="821" stopIfTrue="1" operator="equal">
      <formula>"S"</formula>
    </cfRule>
    <cfRule type="cellIs" dxfId="536" priority="822" stopIfTrue="1" operator="equal">
      <formula>"D"</formula>
    </cfRule>
  </conditionalFormatting>
  <conditionalFormatting sqref="AL21">
    <cfRule type="cellIs" dxfId="535" priority="819" stopIfTrue="1" operator="equal">
      <formula>"S"</formula>
    </cfRule>
    <cfRule type="cellIs" dxfId="534" priority="820" stopIfTrue="1" operator="equal">
      <formula>"D"</formula>
    </cfRule>
  </conditionalFormatting>
  <conditionalFormatting sqref="AP29">
    <cfRule type="cellIs" dxfId="533" priority="817" stopIfTrue="1" operator="equal">
      <formula>"S"</formula>
    </cfRule>
    <cfRule type="cellIs" dxfId="532" priority="818" stopIfTrue="1" operator="equal">
      <formula>"D"</formula>
    </cfRule>
  </conditionalFormatting>
  <conditionalFormatting sqref="AP29">
    <cfRule type="cellIs" dxfId="531" priority="815" stopIfTrue="1" operator="equal">
      <formula>"S"</formula>
    </cfRule>
    <cfRule type="cellIs" dxfId="530" priority="816" stopIfTrue="1" operator="equal">
      <formula>"D"</formula>
    </cfRule>
  </conditionalFormatting>
  <conditionalFormatting sqref="AP30">
    <cfRule type="cellIs" dxfId="529" priority="813" stopIfTrue="1" operator="equal">
      <formula>"S"</formula>
    </cfRule>
    <cfRule type="cellIs" dxfId="528" priority="814" stopIfTrue="1" operator="equal">
      <formula>"D"</formula>
    </cfRule>
  </conditionalFormatting>
  <conditionalFormatting sqref="AP30">
    <cfRule type="cellIs" dxfId="527" priority="811" stopIfTrue="1" operator="equal">
      <formula>"S"</formula>
    </cfRule>
    <cfRule type="cellIs" dxfId="526" priority="812" stopIfTrue="1" operator="equal">
      <formula>"D"</formula>
    </cfRule>
  </conditionalFormatting>
  <conditionalFormatting sqref="AN13">
    <cfRule type="cellIs" dxfId="525" priority="809" stopIfTrue="1" operator="equal">
      <formula>"S"</formula>
    </cfRule>
    <cfRule type="cellIs" dxfId="524" priority="810" stopIfTrue="1" operator="equal">
      <formula>"D"</formula>
    </cfRule>
  </conditionalFormatting>
  <conditionalFormatting sqref="AN13">
    <cfRule type="cellIs" dxfId="523" priority="807" stopIfTrue="1" operator="equal">
      <formula>"S"</formula>
    </cfRule>
    <cfRule type="cellIs" dxfId="522" priority="808" stopIfTrue="1" operator="equal">
      <formula>"D"</formula>
    </cfRule>
  </conditionalFormatting>
  <conditionalFormatting sqref="AN14">
    <cfRule type="cellIs" dxfId="521" priority="805" stopIfTrue="1" operator="equal">
      <formula>"S"</formula>
    </cfRule>
    <cfRule type="cellIs" dxfId="520" priority="806" stopIfTrue="1" operator="equal">
      <formula>"D"</formula>
    </cfRule>
  </conditionalFormatting>
  <conditionalFormatting sqref="AN14">
    <cfRule type="cellIs" dxfId="519" priority="803" stopIfTrue="1" operator="equal">
      <formula>"S"</formula>
    </cfRule>
    <cfRule type="cellIs" dxfId="518" priority="804" stopIfTrue="1" operator="equal">
      <formula>"D"</formula>
    </cfRule>
  </conditionalFormatting>
  <conditionalFormatting sqref="AM27:AN27">
    <cfRule type="cellIs" dxfId="517" priority="799" stopIfTrue="1" operator="equal">
      <formula>"S"</formula>
    </cfRule>
    <cfRule type="cellIs" dxfId="516" priority="800" stopIfTrue="1" operator="equal">
      <formula>"D"</formula>
    </cfRule>
  </conditionalFormatting>
  <conditionalFormatting sqref="AM27:AN27">
    <cfRule type="cellIs" dxfId="515" priority="797" stopIfTrue="1" operator="equal">
      <formula>"S"</formula>
    </cfRule>
    <cfRule type="cellIs" dxfId="514" priority="798" stopIfTrue="1" operator="equal">
      <formula>"D"</formula>
    </cfRule>
  </conditionalFormatting>
  <conditionalFormatting sqref="AM27:AN27">
    <cfRule type="cellIs" dxfId="513" priority="795" stopIfTrue="1" operator="equal">
      <formula>"S"</formula>
    </cfRule>
    <cfRule type="cellIs" dxfId="512" priority="796" stopIfTrue="1" operator="equal">
      <formula>"D"</formula>
    </cfRule>
  </conditionalFormatting>
  <conditionalFormatting sqref="AM27:AN27">
    <cfRule type="cellIs" dxfId="511" priority="793" stopIfTrue="1" operator="equal">
      <formula>"S"</formula>
    </cfRule>
    <cfRule type="cellIs" dxfId="510" priority="794" stopIfTrue="1" operator="equal">
      <formula>"D"</formula>
    </cfRule>
  </conditionalFormatting>
  <conditionalFormatting sqref="AM27:AN27">
    <cfRule type="cellIs" dxfId="509" priority="801" stopIfTrue="1" operator="equal">
      <formula>"S"</formula>
    </cfRule>
    <cfRule type="cellIs" dxfId="508" priority="802" stopIfTrue="1" operator="equal">
      <formula>"D"</formula>
    </cfRule>
  </conditionalFormatting>
  <conditionalFormatting sqref="AT32:AX33 AT37:AX37 AV36:AX36 AT31 AX31 AW29 AW34:AX34 AX35">
    <cfRule type="cellIs" dxfId="507" priority="791" stopIfTrue="1" operator="equal">
      <formula>"S"</formula>
    </cfRule>
    <cfRule type="cellIs" dxfId="506" priority="792" stopIfTrue="1" operator="equal">
      <formula>"D"</formula>
    </cfRule>
  </conditionalFormatting>
  <conditionalFormatting sqref="AT30">
    <cfRule type="cellIs" dxfId="505" priority="789" stopIfTrue="1" operator="equal">
      <formula>"S"</formula>
    </cfRule>
    <cfRule type="cellIs" dxfId="504" priority="790" stopIfTrue="1" operator="equal">
      <formula>"D"</formula>
    </cfRule>
  </conditionalFormatting>
  <conditionalFormatting sqref="AT30">
    <cfRule type="cellIs" dxfId="503" priority="787" stopIfTrue="1" operator="equal">
      <formula>"S"</formula>
    </cfRule>
    <cfRule type="cellIs" dxfId="502" priority="788" stopIfTrue="1" operator="equal">
      <formula>"D"</formula>
    </cfRule>
  </conditionalFormatting>
  <conditionalFormatting sqref="AV29">
    <cfRule type="cellIs" dxfId="501" priority="785" stopIfTrue="1" operator="equal">
      <formula>"S"</formula>
    </cfRule>
    <cfRule type="cellIs" dxfId="500" priority="786" stopIfTrue="1" operator="equal">
      <formula>"D"</formula>
    </cfRule>
  </conditionalFormatting>
  <conditionalFormatting sqref="AV30">
    <cfRule type="cellIs" dxfId="499" priority="781" stopIfTrue="1" operator="equal">
      <formula>"S"</formula>
    </cfRule>
    <cfRule type="cellIs" dxfId="498" priority="782" stopIfTrue="1" operator="equal">
      <formula>"D"</formula>
    </cfRule>
  </conditionalFormatting>
  <conditionalFormatting sqref="AU35">
    <cfRule type="cellIs" dxfId="497" priority="775" stopIfTrue="1" operator="equal">
      <formula>"S"</formula>
    </cfRule>
    <cfRule type="cellIs" dxfId="496" priority="776" stopIfTrue="1" operator="equal">
      <formula>"D"</formula>
    </cfRule>
  </conditionalFormatting>
  <conditionalFormatting sqref="AU35">
    <cfRule type="cellIs" dxfId="495" priority="773" stopIfTrue="1" operator="equal">
      <formula>"S"</formula>
    </cfRule>
    <cfRule type="cellIs" dxfId="494" priority="774" stopIfTrue="1" operator="equal">
      <formula>"D"</formula>
    </cfRule>
  </conditionalFormatting>
  <conditionalFormatting sqref="AU34">
    <cfRule type="cellIs" dxfId="493" priority="771" stopIfTrue="1" operator="equal">
      <formula>"S"</formula>
    </cfRule>
    <cfRule type="cellIs" dxfId="492" priority="772" stopIfTrue="1" operator="equal">
      <formula>"D"</formula>
    </cfRule>
  </conditionalFormatting>
  <conditionalFormatting sqref="AT36">
    <cfRule type="cellIs" dxfId="491" priority="769" stopIfTrue="1" operator="equal">
      <formula>"S"</formula>
    </cfRule>
    <cfRule type="cellIs" dxfId="490" priority="770" stopIfTrue="1" operator="equal">
      <formula>"D"</formula>
    </cfRule>
  </conditionalFormatting>
  <conditionalFormatting sqref="AT36">
    <cfRule type="cellIs" dxfId="489" priority="767" stopIfTrue="1" operator="equal">
      <formula>"S"</formula>
    </cfRule>
    <cfRule type="cellIs" dxfId="488" priority="768" stopIfTrue="1" operator="equal">
      <formula>"D"</formula>
    </cfRule>
  </conditionalFormatting>
  <conditionalFormatting sqref="AU36">
    <cfRule type="cellIs" dxfId="487" priority="765" stopIfTrue="1" operator="equal">
      <formula>"S"</formula>
    </cfRule>
    <cfRule type="cellIs" dxfId="486" priority="766" stopIfTrue="1" operator="equal">
      <formula>"D"</formula>
    </cfRule>
  </conditionalFormatting>
  <conditionalFormatting sqref="AU36">
    <cfRule type="cellIs" dxfId="485" priority="763" stopIfTrue="1" operator="equal">
      <formula>"S"</formula>
    </cfRule>
    <cfRule type="cellIs" dxfId="484" priority="764" stopIfTrue="1" operator="equal">
      <formula>"D"</formula>
    </cfRule>
  </conditionalFormatting>
  <conditionalFormatting sqref="AW30">
    <cfRule type="cellIs" dxfId="483" priority="783" stopIfTrue="1" operator="equal">
      <formula>"S"</formula>
    </cfRule>
    <cfRule type="cellIs" dxfId="482" priority="784" stopIfTrue="1" operator="equal">
      <formula>"D"</formula>
    </cfRule>
  </conditionalFormatting>
  <conditionalFormatting sqref="AT35">
    <cfRule type="cellIs" dxfId="481" priority="779" stopIfTrue="1" operator="equal">
      <formula>"S"</formula>
    </cfRule>
    <cfRule type="cellIs" dxfId="480" priority="780" stopIfTrue="1" operator="equal">
      <formula>"D"</formula>
    </cfRule>
  </conditionalFormatting>
  <conditionalFormatting sqref="AT35">
    <cfRule type="cellIs" dxfId="479" priority="777" stopIfTrue="1" operator="equal">
      <formula>"S"</formula>
    </cfRule>
    <cfRule type="cellIs" dxfId="478" priority="778" stopIfTrue="1" operator="equal">
      <formula>"D"</formula>
    </cfRule>
  </conditionalFormatting>
  <conditionalFormatting sqref="AT34">
    <cfRule type="cellIs" dxfId="477" priority="761" stopIfTrue="1" operator="equal">
      <formula>"S"</formula>
    </cfRule>
    <cfRule type="cellIs" dxfId="476" priority="762" stopIfTrue="1" operator="equal">
      <formula>"D"</formula>
    </cfRule>
  </conditionalFormatting>
  <conditionalFormatting sqref="AU31:AV31">
    <cfRule type="cellIs" dxfId="475" priority="759" stopIfTrue="1" operator="equal">
      <formula>"S"</formula>
    </cfRule>
    <cfRule type="cellIs" dxfId="474" priority="760" stopIfTrue="1" operator="equal">
      <formula>"D"</formula>
    </cfRule>
  </conditionalFormatting>
  <conditionalFormatting sqref="AT29">
    <cfRule type="cellIs" dxfId="473" priority="757" stopIfTrue="1" operator="equal">
      <formula>"S"</formula>
    </cfRule>
    <cfRule type="cellIs" dxfId="472" priority="758" stopIfTrue="1" operator="equal">
      <formula>"D"</formula>
    </cfRule>
  </conditionalFormatting>
  <conditionalFormatting sqref="AT7:AX13 AT22:AX26 AT21:AU21 AX21 AT15:AX20 AT14 AW14:AX14 AT32:AX37 AT31:AV31 AX31 AT28:AX30 AT27 AW27:AX27">
    <cfRule type="cellIs" dxfId="471" priority="755" stopIfTrue="1" operator="equal">
      <formula>"S"</formula>
    </cfRule>
    <cfRule type="cellIs" dxfId="470" priority="756" stopIfTrue="1" operator="equal">
      <formula>"D"</formula>
    </cfRule>
  </conditionalFormatting>
  <conditionalFormatting sqref="AU29">
    <cfRule type="cellIs" dxfId="469" priority="753" stopIfTrue="1" operator="equal">
      <formula>"S"</formula>
    </cfRule>
    <cfRule type="cellIs" dxfId="468" priority="754" stopIfTrue="1" operator="equal">
      <formula>"D"</formula>
    </cfRule>
  </conditionalFormatting>
  <conditionalFormatting sqref="AU29">
    <cfRule type="cellIs" dxfId="467" priority="751" stopIfTrue="1" operator="equal">
      <formula>"S"</formula>
    </cfRule>
    <cfRule type="cellIs" dxfId="466" priority="752" stopIfTrue="1" operator="equal">
      <formula>"D"</formula>
    </cfRule>
  </conditionalFormatting>
  <conditionalFormatting sqref="AU30">
    <cfRule type="cellIs" dxfId="465" priority="749" stopIfTrue="1" operator="equal">
      <formula>"S"</formula>
    </cfRule>
    <cfRule type="cellIs" dxfId="464" priority="750" stopIfTrue="1" operator="equal">
      <formula>"D"</formula>
    </cfRule>
  </conditionalFormatting>
  <conditionalFormatting sqref="AU30">
    <cfRule type="cellIs" dxfId="463" priority="747" stopIfTrue="1" operator="equal">
      <formula>"S"</formula>
    </cfRule>
    <cfRule type="cellIs" dxfId="462" priority="748" stopIfTrue="1" operator="equal">
      <formula>"D"</formula>
    </cfRule>
  </conditionalFormatting>
  <conditionalFormatting sqref="AV15">
    <cfRule type="cellIs" dxfId="461" priority="745" stopIfTrue="1" operator="equal">
      <formula>"S"</formula>
    </cfRule>
    <cfRule type="cellIs" dxfId="460" priority="746" stopIfTrue="1" operator="equal">
      <formula>"D"</formula>
    </cfRule>
  </conditionalFormatting>
  <conditionalFormatting sqref="AT21">
    <cfRule type="cellIs" dxfId="459" priority="741" stopIfTrue="1" operator="equal">
      <formula>"S"</formula>
    </cfRule>
    <cfRule type="cellIs" dxfId="458" priority="742" stopIfTrue="1" operator="equal">
      <formula>"D"</formula>
    </cfRule>
  </conditionalFormatting>
  <conditionalFormatting sqref="AX29">
    <cfRule type="cellIs" dxfId="457" priority="739" stopIfTrue="1" operator="equal">
      <formula>"S"</formula>
    </cfRule>
    <cfRule type="cellIs" dxfId="456" priority="740" stopIfTrue="1" operator="equal">
      <formula>"D"</formula>
    </cfRule>
  </conditionalFormatting>
  <conditionalFormatting sqref="AX29">
    <cfRule type="cellIs" dxfId="455" priority="737" stopIfTrue="1" operator="equal">
      <formula>"S"</formula>
    </cfRule>
    <cfRule type="cellIs" dxfId="454" priority="738" stopIfTrue="1" operator="equal">
      <formula>"D"</formula>
    </cfRule>
  </conditionalFormatting>
  <conditionalFormatting sqref="AX30">
    <cfRule type="cellIs" dxfId="453" priority="735" stopIfTrue="1" operator="equal">
      <formula>"S"</formula>
    </cfRule>
    <cfRule type="cellIs" dxfId="452" priority="736" stopIfTrue="1" operator="equal">
      <formula>"D"</formula>
    </cfRule>
  </conditionalFormatting>
  <conditionalFormatting sqref="AX30">
    <cfRule type="cellIs" dxfId="451" priority="733" stopIfTrue="1" operator="equal">
      <formula>"S"</formula>
    </cfRule>
    <cfRule type="cellIs" dxfId="450" priority="734" stopIfTrue="1" operator="equal">
      <formula>"D"</formula>
    </cfRule>
  </conditionalFormatting>
  <conditionalFormatting sqref="AV13">
    <cfRule type="cellIs" dxfId="449" priority="731" stopIfTrue="1" operator="equal">
      <formula>"S"</formula>
    </cfRule>
    <cfRule type="cellIs" dxfId="448" priority="732" stopIfTrue="1" operator="equal">
      <formula>"D"</formula>
    </cfRule>
  </conditionalFormatting>
  <conditionalFormatting sqref="AV13">
    <cfRule type="cellIs" dxfId="447" priority="729" stopIfTrue="1" operator="equal">
      <formula>"S"</formula>
    </cfRule>
    <cfRule type="cellIs" dxfId="446" priority="730" stopIfTrue="1" operator="equal">
      <formula>"D"</formula>
    </cfRule>
  </conditionalFormatting>
  <conditionalFormatting sqref="AW14">
    <cfRule type="cellIs" dxfId="445" priority="727" stopIfTrue="1" operator="equal">
      <formula>"S"</formula>
    </cfRule>
    <cfRule type="cellIs" dxfId="444" priority="728" stopIfTrue="1" operator="equal">
      <formula>"D"</formula>
    </cfRule>
  </conditionalFormatting>
  <conditionalFormatting sqref="AW14">
    <cfRule type="cellIs" dxfId="443" priority="725" stopIfTrue="1" operator="equal">
      <formula>"S"</formula>
    </cfRule>
    <cfRule type="cellIs" dxfId="442" priority="726" stopIfTrue="1" operator="equal">
      <formula>"D"</formula>
    </cfRule>
  </conditionalFormatting>
  <conditionalFormatting sqref="AU27:AV27">
    <cfRule type="cellIs" dxfId="441" priority="721" stopIfTrue="1" operator="equal">
      <formula>"S"</formula>
    </cfRule>
    <cfRule type="cellIs" dxfId="440" priority="722" stopIfTrue="1" operator="equal">
      <formula>"D"</formula>
    </cfRule>
  </conditionalFormatting>
  <conditionalFormatting sqref="AU27:AV27">
    <cfRule type="cellIs" dxfId="439" priority="719" stopIfTrue="1" operator="equal">
      <formula>"S"</formula>
    </cfRule>
    <cfRule type="cellIs" dxfId="438" priority="720" stopIfTrue="1" operator="equal">
      <formula>"D"</formula>
    </cfRule>
  </conditionalFormatting>
  <conditionalFormatting sqref="AU27:AV27">
    <cfRule type="cellIs" dxfId="437" priority="717" stopIfTrue="1" operator="equal">
      <formula>"S"</formula>
    </cfRule>
    <cfRule type="cellIs" dxfId="436" priority="718" stopIfTrue="1" operator="equal">
      <formula>"D"</formula>
    </cfRule>
  </conditionalFormatting>
  <conditionalFormatting sqref="AU27:AV27">
    <cfRule type="cellIs" dxfId="435" priority="715" stopIfTrue="1" operator="equal">
      <formula>"S"</formula>
    </cfRule>
    <cfRule type="cellIs" dxfId="434" priority="716" stopIfTrue="1" operator="equal">
      <formula>"D"</formula>
    </cfRule>
  </conditionalFormatting>
  <conditionalFormatting sqref="AU27:AV27">
    <cfRule type="cellIs" dxfId="433" priority="723" stopIfTrue="1" operator="equal">
      <formula>"S"</formula>
    </cfRule>
    <cfRule type="cellIs" dxfId="432" priority="724" stopIfTrue="1" operator="equal">
      <formula>"D"</formula>
    </cfRule>
  </conditionalFormatting>
  <conditionalFormatting sqref="BB32:BF33 BB37:BF37 BD36:BF36 BB31 BF31 BE29 BE34:BF34 BF35">
    <cfRule type="cellIs" dxfId="431" priority="713" stopIfTrue="1" operator="equal">
      <formula>"S"</formula>
    </cfRule>
    <cfRule type="cellIs" dxfId="430" priority="714" stopIfTrue="1" operator="equal">
      <formula>"D"</formula>
    </cfRule>
  </conditionalFormatting>
  <conditionalFormatting sqref="BB30">
    <cfRule type="cellIs" dxfId="429" priority="711" stopIfTrue="1" operator="equal">
      <formula>"S"</formula>
    </cfRule>
    <cfRule type="cellIs" dxfId="428" priority="712" stopIfTrue="1" operator="equal">
      <formula>"D"</formula>
    </cfRule>
  </conditionalFormatting>
  <conditionalFormatting sqref="BB30">
    <cfRule type="cellIs" dxfId="427" priority="709" stopIfTrue="1" operator="equal">
      <formula>"S"</formula>
    </cfRule>
    <cfRule type="cellIs" dxfId="426" priority="710" stopIfTrue="1" operator="equal">
      <formula>"D"</formula>
    </cfRule>
  </conditionalFormatting>
  <conditionalFormatting sqref="BD29">
    <cfRule type="cellIs" dxfId="425" priority="707" stopIfTrue="1" operator="equal">
      <formula>"S"</formula>
    </cfRule>
    <cfRule type="cellIs" dxfId="424" priority="708" stopIfTrue="1" operator="equal">
      <formula>"D"</formula>
    </cfRule>
  </conditionalFormatting>
  <conditionalFormatting sqref="BD30">
    <cfRule type="cellIs" dxfId="423" priority="703" stopIfTrue="1" operator="equal">
      <formula>"S"</formula>
    </cfRule>
    <cfRule type="cellIs" dxfId="422" priority="704" stopIfTrue="1" operator="equal">
      <formula>"D"</formula>
    </cfRule>
  </conditionalFormatting>
  <conditionalFormatting sqref="BC35">
    <cfRule type="cellIs" dxfId="421" priority="697" stopIfTrue="1" operator="equal">
      <formula>"S"</formula>
    </cfRule>
    <cfRule type="cellIs" dxfId="420" priority="698" stopIfTrue="1" operator="equal">
      <formula>"D"</formula>
    </cfRule>
  </conditionalFormatting>
  <conditionalFormatting sqref="BC35">
    <cfRule type="cellIs" dxfId="419" priority="695" stopIfTrue="1" operator="equal">
      <formula>"S"</formula>
    </cfRule>
    <cfRule type="cellIs" dxfId="418" priority="696" stopIfTrue="1" operator="equal">
      <formula>"D"</formula>
    </cfRule>
  </conditionalFormatting>
  <conditionalFormatting sqref="BC34">
    <cfRule type="cellIs" dxfId="417" priority="693" stopIfTrue="1" operator="equal">
      <formula>"S"</formula>
    </cfRule>
    <cfRule type="cellIs" dxfId="416" priority="694" stopIfTrue="1" operator="equal">
      <formula>"D"</formula>
    </cfRule>
  </conditionalFormatting>
  <conditionalFormatting sqref="BB36">
    <cfRule type="cellIs" dxfId="415" priority="691" stopIfTrue="1" operator="equal">
      <formula>"S"</formula>
    </cfRule>
    <cfRule type="cellIs" dxfId="414" priority="692" stopIfTrue="1" operator="equal">
      <formula>"D"</formula>
    </cfRule>
  </conditionalFormatting>
  <conditionalFormatting sqref="BB36">
    <cfRule type="cellIs" dxfId="413" priority="689" stopIfTrue="1" operator="equal">
      <formula>"S"</formula>
    </cfRule>
    <cfRule type="cellIs" dxfId="412" priority="690" stopIfTrue="1" operator="equal">
      <formula>"D"</formula>
    </cfRule>
  </conditionalFormatting>
  <conditionalFormatting sqref="BC36">
    <cfRule type="cellIs" dxfId="411" priority="687" stopIfTrue="1" operator="equal">
      <formula>"S"</formula>
    </cfRule>
    <cfRule type="cellIs" dxfId="410" priority="688" stopIfTrue="1" operator="equal">
      <formula>"D"</formula>
    </cfRule>
  </conditionalFormatting>
  <conditionalFormatting sqref="BC36">
    <cfRule type="cellIs" dxfId="409" priority="685" stopIfTrue="1" operator="equal">
      <formula>"S"</formula>
    </cfRule>
    <cfRule type="cellIs" dxfId="408" priority="686" stopIfTrue="1" operator="equal">
      <formula>"D"</formula>
    </cfRule>
  </conditionalFormatting>
  <conditionalFormatting sqref="BE30">
    <cfRule type="cellIs" dxfId="407" priority="705" stopIfTrue="1" operator="equal">
      <formula>"S"</formula>
    </cfRule>
    <cfRule type="cellIs" dxfId="406" priority="706" stopIfTrue="1" operator="equal">
      <formula>"D"</formula>
    </cfRule>
  </conditionalFormatting>
  <conditionalFormatting sqref="BB35">
    <cfRule type="cellIs" dxfId="405" priority="701" stopIfTrue="1" operator="equal">
      <formula>"S"</formula>
    </cfRule>
    <cfRule type="cellIs" dxfId="404" priority="702" stopIfTrue="1" operator="equal">
      <formula>"D"</formula>
    </cfRule>
  </conditionalFormatting>
  <conditionalFormatting sqref="BB35">
    <cfRule type="cellIs" dxfId="403" priority="699" stopIfTrue="1" operator="equal">
      <formula>"S"</formula>
    </cfRule>
    <cfRule type="cellIs" dxfId="402" priority="700" stopIfTrue="1" operator="equal">
      <formula>"D"</formula>
    </cfRule>
  </conditionalFormatting>
  <conditionalFormatting sqref="BB34">
    <cfRule type="cellIs" dxfId="401" priority="683" stopIfTrue="1" operator="equal">
      <formula>"S"</formula>
    </cfRule>
    <cfRule type="cellIs" dxfId="400" priority="684" stopIfTrue="1" operator="equal">
      <formula>"D"</formula>
    </cfRule>
  </conditionalFormatting>
  <conditionalFormatting sqref="BC31:BD31">
    <cfRule type="cellIs" dxfId="399" priority="681" stopIfTrue="1" operator="equal">
      <formula>"S"</formula>
    </cfRule>
    <cfRule type="cellIs" dxfId="398" priority="682" stopIfTrue="1" operator="equal">
      <formula>"D"</formula>
    </cfRule>
  </conditionalFormatting>
  <conditionalFormatting sqref="BB29">
    <cfRule type="cellIs" dxfId="397" priority="679" stopIfTrue="1" operator="equal">
      <formula>"S"</formula>
    </cfRule>
    <cfRule type="cellIs" dxfId="396" priority="680" stopIfTrue="1" operator="equal">
      <formula>"D"</formula>
    </cfRule>
  </conditionalFormatting>
  <conditionalFormatting sqref="BB7:BF13 BB22:BF26 BB21:BC21 BF21 BB15:BF20 BB14 BF14 BD14 BB32:BF37 BB31:BD31 BF31 BB28:BF30 BB27 BE27:BF27">
    <cfRule type="cellIs" dxfId="395" priority="677" stopIfTrue="1" operator="equal">
      <formula>"S"</formula>
    </cfRule>
    <cfRule type="cellIs" dxfId="394" priority="678" stopIfTrue="1" operator="equal">
      <formula>"D"</formula>
    </cfRule>
  </conditionalFormatting>
  <conditionalFormatting sqref="BC29">
    <cfRule type="cellIs" dxfId="393" priority="675" stopIfTrue="1" operator="equal">
      <formula>"S"</formula>
    </cfRule>
    <cfRule type="cellIs" dxfId="392" priority="676" stopIfTrue="1" operator="equal">
      <formula>"D"</formula>
    </cfRule>
  </conditionalFormatting>
  <conditionalFormatting sqref="BC29">
    <cfRule type="cellIs" dxfId="391" priority="673" stopIfTrue="1" operator="equal">
      <formula>"S"</formula>
    </cfRule>
    <cfRule type="cellIs" dxfId="390" priority="674" stopIfTrue="1" operator="equal">
      <formula>"D"</formula>
    </cfRule>
  </conditionalFormatting>
  <conditionalFormatting sqref="BC30">
    <cfRule type="cellIs" dxfId="389" priority="671" stopIfTrue="1" operator="equal">
      <formula>"S"</formula>
    </cfRule>
    <cfRule type="cellIs" dxfId="388" priority="672" stopIfTrue="1" operator="equal">
      <formula>"D"</formula>
    </cfRule>
  </conditionalFormatting>
  <conditionalFormatting sqref="BC30">
    <cfRule type="cellIs" dxfId="387" priority="669" stopIfTrue="1" operator="equal">
      <formula>"S"</formula>
    </cfRule>
    <cfRule type="cellIs" dxfId="386" priority="670" stopIfTrue="1" operator="equal">
      <formula>"D"</formula>
    </cfRule>
  </conditionalFormatting>
  <conditionalFormatting sqref="BD15">
    <cfRule type="cellIs" dxfId="385" priority="667" stopIfTrue="1" operator="equal">
      <formula>"S"</formula>
    </cfRule>
    <cfRule type="cellIs" dxfId="384" priority="668" stopIfTrue="1" operator="equal">
      <formula>"D"</formula>
    </cfRule>
  </conditionalFormatting>
  <conditionalFormatting sqref="BB21">
    <cfRule type="cellIs" dxfId="383" priority="663" stopIfTrue="1" operator="equal">
      <formula>"S"</formula>
    </cfRule>
    <cfRule type="cellIs" dxfId="382" priority="664" stopIfTrue="1" operator="equal">
      <formula>"D"</formula>
    </cfRule>
  </conditionalFormatting>
  <conditionalFormatting sqref="BF29">
    <cfRule type="cellIs" dxfId="381" priority="661" stopIfTrue="1" operator="equal">
      <formula>"S"</formula>
    </cfRule>
    <cfRule type="cellIs" dxfId="380" priority="662" stopIfTrue="1" operator="equal">
      <formula>"D"</formula>
    </cfRule>
  </conditionalFormatting>
  <conditionalFormatting sqref="BF29">
    <cfRule type="cellIs" dxfId="379" priority="659" stopIfTrue="1" operator="equal">
      <formula>"S"</formula>
    </cfRule>
    <cfRule type="cellIs" dxfId="378" priority="660" stopIfTrue="1" operator="equal">
      <formula>"D"</formula>
    </cfRule>
  </conditionalFormatting>
  <conditionalFormatting sqref="BF30">
    <cfRule type="cellIs" dxfId="377" priority="657" stopIfTrue="1" operator="equal">
      <formula>"S"</formula>
    </cfRule>
    <cfRule type="cellIs" dxfId="376" priority="658" stopIfTrue="1" operator="equal">
      <formula>"D"</formula>
    </cfRule>
  </conditionalFormatting>
  <conditionalFormatting sqref="BF30">
    <cfRule type="cellIs" dxfId="375" priority="655" stopIfTrue="1" operator="equal">
      <formula>"S"</formula>
    </cfRule>
    <cfRule type="cellIs" dxfId="374" priority="656" stopIfTrue="1" operator="equal">
      <formula>"D"</formula>
    </cfRule>
  </conditionalFormatting>
  <conditionalFormatting sqref="BD13">
    <cfRule type="cellIs" dxfId="373" priority="653" stopIfTrue="1" operator="equal">
      <formula>"S"</formula>
    </cfRule>
    <cfRule type="cellIs" dxfId="372" priority="654" stopIfTrue="1" operator="equal">
      <formula>"D"</formula>
    </cfRule>
  </conditionalFormatting>
  <conditionalFormatting sqref="BD13">
    <cfRule type="cellIs" dxfId="371" priority="651" stopIfTrue="1" operator="equal">
      <formula>"S"</formula>
    </cfRule>
    <cfRule type="cellIs" dxfId="370" priority="652" stopIfTrue="1" operator="equal">
      <formula>"D"</formula>
    </cfRule>
  </conditionalFormatting>
  <conditionalFormatting sqref="BD14">
    <cfRule type="cellIs" dxfId="369" priority="649" stopIfTrue="1" operator="equal">
      <formula>"S"</formula>
    </cfRule>
    <cfRule type="cellIs" dxfId="368" priority="650" stopIfTrue="1" operator="equal">
      <formula>"D"</formula>
    </cfRule>
  </conditionalFormatting>
  <conditionalFormatting sqref="BD14">
    <cfRule type="cellIs" dxfId="367" priority="647" stopIfTrue="1" operator="equal">
      <formula>"S"</formula>
    </cfRule>
    <cfRule type="cellIs" dxfId="366" priority="648" stopIfTrue="1" operator="equal">
      <formula>"D"</formula>
    </cfRule>
  </conditionalFormatting>
  <conditionalFormatting sqref="BC27:BD27">
    <cfRule type="cellIs" dxfId="365" priority="643" stopIfTrue="1" operator="equal">
      <formula>"S"</formula>
    </cfRule>
    <cfRule type="cellIs" dxfId="364" priority="644" stopIfTrue="1" operator="equal">
      <formula>"D"</formula>
    </cfRule>
  </conditionalFormatting>
  <conditionalFormatting sqref="BC27:BD27">
    <cfRule type="cellIs" dxfId="363" priority="641" stopIfTrue="1" operator="equal">
      <formula>"S"</formula>
    </cfRule>
    <cfRule type="cellIs" dxfId="362" priority="642" stopIfTrue="1" operator="equal">
      <formula>"D"</formula>
    </cfRule>
  </conditionalFormatting>
  <conditionalFormatting sqref="BC27:BD27">
    <cfRule type="cellIs" dxfId="361" priority="639" stopIfTrue="1" operator="equal">
      <formula>"S"</formula>
    </cfRule>
    <cfRule type="cellIs" dxfId="360" priority="640" stopIfTrue="1" operator="equal">
      <formula>"D"</formula>
    </cfRule>
  </conditionalFormatting>
  <conditionalFormatting sqref="BC27:BD27">
    <cfRule type="cellIs" dxfId="359" priority="637" stopIfTrue="1" operator="equal">
      <formula>"S"</formula>
    </cfRule>
    <cfRule type="cellIs" dxfId="358" priority="638" stopIfTrue="1" operator="equal">
      <formula>"D"</formula>
    </cfRule>
  </conditionalFormatting>
  <conditionalFormatting sqref="BC27:BD27">
    <cfRule type="cellIs" dxfId="357" priority="645" stopIfTrue="1" operator="equal">
      <formula>"S"</formula>
    </cfRule>
    <cfRule type="cellIs" dxfId="356" priority="646" stopIfTrue="1" operator="equal">
      <formula>"D"</formula>
    </cfRule>
  </conditionalFormatting>
  <conditionalFormatting sqref="BJ32:BN33 BJ37:BN37 BL36:BN36 BJ31 BN31 BM29 BM34:BN34 BN35">
    <cfRule type="cellIs" dxfId="355" priority="635" stopIfTrue="1" operator="equal">
      <formula>"S"</formula>
    </cfRule>
    <cfRule type="cellIs" dxfId="354" priority="636" stopIfTrue="1" operator="equal">
      <formula>"D"</formula>
    </cfRule>
  </conditionalFormatting>
  <conditionalFormatting sqref="BJ30">
    <cfRule type="cellIs" dxfId="353" priority="633" stopIfTrue="1" operator="equal">
      <formula>"S"</formula>
    </cfRule>
    <cfRule type="cellIs" dxfId="352" priority="634" stopIfTrue="1" operator="equal">
      <formula>"D"</formula>
    </cfRule>
  </conditionalFormatting>
  <conditionalFormatting sqref="BJ30">
    <cfRule type="cellIs" dxfId="351" priority="631" stopIfTrue="1" operator="equal">
      <formula>"S"</formula>
    </cfRule>
    <cfRule type="cellIs" dxfId="350" priority="632" stopIfTrue="1" operator="equal">
      <formula>"D"</formula>
    </cfRule>
  </conditionalFormatting>
  <conditionalFormatting sqref="BL29">
    <cfRule type="cellIs" dxfId="349" priority="629" stopIfTrue="1" operator="equal">
      <formula>"S"</formula>
    </cfRule>
    <cfRule type="cellIs" dxfId="348" priority="630" stopIfTrue="1" operator="equal">
      <formula>"D"</formula>
    </cfRule>
  </conditionalFormatting>
  <conditionalFormatting sqref="BL30">
    <cfRule type="cellIs" dxfId="347" priority="625" stopIfTrue="1" operator="equal">
      <formula>"S"</formula>
    </cfRule>
    <cfRule type="cellIs" dxfId="346" priority="626" stopIfTrue="1" operator="equal">
      <formula>"D"</formula>
    </cfRule>
  </conditionalFormatting>
  <conditionalFormatting sqref="BK35">
    <cfRule type="cellIs" dxfId="345" priority="619" stopIfTrue="1" operator="equal">
      <formula>"S"</formula>
    </cfRule>
    <cfRule type="cellIs" dxfId="344" priority="620" stopIfTrue="1" operator="equal">
      <formula>"D"</formula>
    </cfRule>
  </conditionalFormatting>
  <conditionalFormatting sqref="BK35">
    <cfRule type="cellIs" dxfId="343" priority="617" stopIfTrue="1" operator="equal">
      <formula>"S"</formula>
    </cfRule>
    <cfRule type="cellIs" dxfId="342" priority="618" stopIfTrue="1" operator="equal">
      <formula>"D"</formula>
    </cfRule>
  </conditionalFormatting>
  <conditionalFormatting sqref="BK34">
    <cfRule type="cellIs" dxfId="341" priority="615" stopIfTrue="1" operator="equal">
      <formula>"S"</formula>
    </cfRule>
    <cfRule type="cellIs" dxfId="340" priority="616" stopIfTrue="1" operator="equal">
      <formula>"D"</formula>
    </cfRule>
  </conditionalFormatting>
  <conditionalFormatting sqref="BJ36">
    <cfRule type="cellIs" dxfId="339" priority="613" stopIfTrue="1" operator="equal">
      <formula>"S"</formula>
    </cfRule>
    <cfRule type="cellIs" dxfId="338" priority="614" stopIfTrue="1" operator="equal">
      <formula>"D"</formula>
    </cfRule>
  </conditionalFormatting>
  <conditionalFormatting sqref="BJ36">
    <cfRule type="cellIs" dxfId="337" priority="611" stopIfTrue="1" operator="equal">
      <formula>"S"</formula>
    </cfRule>
    <cfRule type="cellIs" dxfId="336" priority="612" stopIfTrue="1" operator="equal">
      <formula>"D"</formula>
    </cfRule>
  </conditionalFormatting>
  <conditionalFormatting sqref="BK36">
    <cfRule type="cellIs" dxfId="335" priority="609" stopIfTrue="1" operator="equal">
      <formula>"S"</formula>
    </cfRule>
    <cfRule type="cellIs" dxfId="334" priority="610" stopIfTrue="1" operator="equal">
      <formula>"D"</formula>
    </cfRule>
  </conditionalFormatting>
  <conditionalFormatting sqref="BK36">
    <cfRule type="cellIs" dxfId="333" priority="607" stopIfTrue="1" operator="equal">
      <formula>"S"</formula>
    </cfRule>
    <cfRule type="cellIs" dxfId="332" priority="608" stopIfTrue="1" operator="equal">
      <formula>"D"</formula>
    </cfRule>
  </conditionalFormatting>
  <conditionalFormatting sqref="BM30">
    <cfRule type="cellIs" dxfId="331" priority="627" stopIfTrue="1" operator="equal">
      <formula>"S"</formula>
    </cfRule>
    <cfRule type="cellIs" dxfId="330" priority="628" stopIfTrue="1" operator="equal">
      <formula>"D"</formula>
    </cfRule>
  </conditionalFormatting>
  <conditionalFormatting sqref="BJ35">
    <cfRule type="cellIs" dxfId="329" priority="623" stopIfTrue="1" operator="equal">
      <formula>"S"</formula>
    </cfRule>
    <cfRule type="cellIs" dxfId="328" priority="624" stopIfTrue="1" operator="equal">
      <formula>"D"</formula>
    </cfRule>
  </conditionalFormatting>
  <conditionalFormatting sqref="BJ35">
    <cfRule type="cellIs" dxfId="327" priority="621" stopIfTrue="1" operator="equal">
      <formula>"S"</formula>
    </cfRule>
    <cfRule type="cellIs" dxfId="326" priority="622" stopIfTrue="1" operator="equal">
      <formula>"D"</formula>
    </cfRule>
  </conditionalFormatting>
  <conditionalFormatting sqref="BJ34">
    <cfRule type="cellIs" dxfId="325" priority="605" stopIfTrue="1" operator="equal">
      <formula>"S"</formula>
    </cfRule>
    <cfRule type="cellIs" dxfId="324" priority="606" stopIfTrue="1" operator="equal">
      <formula>"D"</formula>
    </cfRule>
  </conditionalFormatting>
  <conditionalFormatting sqref="BK31:BL31">
    <cfRule type="cellIs" dxfId="323" priority="603" stopIfTrue="1" operator="equal">
      <formula>"S"</formula>
    </cfRule>
    <cfRule type="cellIs" dxfId="322" priority="604" stopIfTrue="1" operator="equal">
      <formula>"D"</formula>
    </cfRule>
  </conditionalFormatting>
  <conditionalFormatting sqref="BJ29">
    <cfRule type="cellIs" dxfId="321" priority="601" stopIfTrue="1" operator="equal">
      <formula>"S"</formula>
    </cfRule>
    <cfRule type="cellIs" dxfId="320" priority="602" stopIfTrue="1" operator="equal">
      <formula>"D"</formula>
    </cfRule>
  </conditionalFormatting>
  <conditionalFormatting sqref="BJ7:BN13 BJ22:BN26 BJ21:BK21 BN21 BJ15:BN20 BJ14 BN14 BL14 BJ32:BN37 BJ31:BL31 BN31 BJ28:BN30 BJ27 BM27:BN27">
    <cfRule type="cellIs" dxfId="319" priority="599" stopIfTrue="1" operator="equal">
      <formula>"S"</formula>
    </cfRule>
    <cfRule type="cellIs" dxfId="318" priority="600" stopIfTrue="1" operator="equal">
      <formula>"D"</formula>
    </cfRule>
  </conditionalFormatting>
  <conditionalFormatting sqref="BK29">
    <cfRule type="cellIs" dxfId="317" priority="597" stopIfTrue="1" operator="equal">
      <formula>"S"</formula>
    </cfRule>
    <cfRule type="cellIs" dxfId="316" priority="598" stopIfTrue="1" operator="equal">
      <formula>"D"</formula>
    </cfRule>
  </conditionalFormatting>
  <conditionalFormatting sqref="BK29">
    <cfRule type="cellIs" dxfId="315" priority="595" stopIfTrue="1" operator="equal">
      <formula>"S"</formula>
    </cfRule>
    <cfRule type="cellIs" dxfId="314" priority="596" stopIfTrue="1" operator="equal">
      <formula>"D"</formula>
    </cfRule>
  </conditionalFormatting>
  <conditionalFormatting sqref="BK30">
    <cfRule type="cellIs" dxfId="313" priority="593" stopIfTrue="1" operator="equal">
      <formula>"S"</formula>
    </cfRule>
    <cfRule type="cellIs" dxfId="312" priority="594" stopIfTrue="1" operator="equal">
      <formula>"D"</formula>
    </cfRule>
  </conditionalFormatting>
  <conditionalFormatting sqref="BK30">
    <cfRule type="cellIs" dxfId="311" priority="591" stopIfTrue="1" operator="equal">
      <formula>"S"</formula>
    </cfRule>
    <cfRule type="cellIs" dxfId="310" priority="592" stopIfTrue="1" operator="equal">
      <formula>"D"</formula>
    </cfRule>
  </conditionalFormatting>
  <conditionalFormatting sqref="BL15">
    <cfRule type="cellIs" dxfId="309" priority="589" stopIfTrue="1" operator="equal">
      <formula>"S"</formula>
    </cfRule>
    <cfRule type="cellIs" dxfId="308" priority="590" stopIfTrue="1" operator="equal">
      <formula>"D"</formula>
    </cfRule>
  </conditionalFormatting>
  <conditionalFormatting sqref="BJ21">
    <cfRule type="cellIs" dxfId="307" priority="585" stopIfTrue="1" operator="equal">
      <formula>"S"</formula>
    </cfRule>
    <cfRule type="cellIs" dxfId="306" priority="586" stopIfTrue="1" operator="equal">
      <formula>"D"</formula>
    </cfRule>
  </conditionalFormatting>
  <conditionalFormatting sqref="BN29">
    <cfRule type="cellIs" dxfId="305" priority="583" stopIfTrue="1" operator="equal">
      <formula>"S"</formula>
    </cfRule>
    <cfRule type="cellIs" dxfId="304" priority="584" stopIfTrue="1" operator="equal">
      <formula>"D"</formula>
    </cfRule>
  </conditionalFormatting>
  <conditionalFormatting sqref="BN29">
    <cfRule type="cellIs" dxfId="303" priority="581" stopIfTrue="1" operator="equal">
      <formula>"S"</formula>
    </cfRule>
    <cfRule type="cellIs" dxfId="302" priority="582" stopIfTrue="1" operator="equal">
      <formula>"D"</formula>
    </cfRule>
  </conditionalFormatting>
  <conditionalFormatting sqref="BN30">
    <cfRule type="cellIs" dxfId="301" priority="579" stopIfTrue="1" operator="equal">
      <formula>"S"</formula>
    </cfRule>
    <cfRule type="cellIs" dxfId="300" priority="580" stopIfTrue="1" operator="equal">
      <formula>"D"</formula>
    </cfRule>
  </conditionalFormatting>
  <conditionalFormatting sqref="BN30">
    <cfRule type="cellIs" dxfId="299" priority="577" stopIfTrue="1" operator="equal">
      <formula>"S"</formula>
    </cfRule>
    <cfRule type="cellIs" dxfId="298" priority="578" stopIfTrue="1" operator="equal">
      <formula>"D"</formula>
    </cfRule>
  </conditionalFormatting>
  <conditionalFormatting sqref="BL13">
    <cfRule type="cellIs" dxfId="297" priority="575" stopIfTrue="1" operator="equal">
      <formula>"S"</formula>
    </cfRule>
    <cfRule type="cellIs" dxfId="296" priority="576" stopIfTrue="1" operator="equal">
      <formula>"D"</formula>
    </cfRule>
  </conditionalFormatting>
  <conditionalFormatting sqref="BL13">
    <cfRule type="cellIs" dxfId="295" priority="573" stopIfTrue="1" operator="equal">
      <formula>"S"</formula>
    </cfRule>
    <cfRule type="cellIs" dxfId="294" priority="574" stopIfTrue="1" operator="equal">
      <formula>"D"</formula>
    </cfRule>
  </conditionalFormatting>
  <conditionalFormatting sqref="BL14">
    <cfRule type="cellIs" dxfId="293" priority="571" stopIfTrue="1" operator="equal">
      <formula>"S"</formula>
    </cfRule>
    <cfRule type="cellIs" dxfId="292" priority="572" stopIfTrue="1" operator="equal">
      <formula>"D"</formula>
    </cfRule>
  </conditionalFormatting>
  <conditionalFormatting sqref="BL14">
    <cfRule type="cellIs" dxfId="291" priority="569" stopIfTrue="1" operator="equal">
      <formula>"S"</formula>
    </cfRule>
    <cfRule type="cellIs" dxfId="290" priority="570" stopIfTrue="1" operator="equal">
      <formula>"D"</formula>
    </cfRule>
  </conditionalFormatting>
  <conditionalFormatting sqref="BK27:BL27">
    <cfRule type="cellIs" dxfId="289" priority="565" stopIfTrue="1" operator="equal">
      <formula>"S"</formula>
    </cfRule>
    <cfRule type="cellIs" dxfId="288" priority="566" stopIfTrue="1" operator="equal">
      <formula>"D"</formula>
    </cfRule>
  </conditionalFormatting>
  <conditionalFormatting sqref="BK27:BL27">
    <cfRule type="cellIs" dxfId="287" priority="563" stopIfTrue="1" operator="equal">
      <formula>"S"</formula>
    </cfRule>
    <cfRule type="cellIs" dxfId="286" priority="564" stopIfTrue="1" operator="equal">
      <formula>"D"</formula>
    </cfRule>
  </conditionalFormatting>
  <conditionalFormatting sqref="BK27:BL27">
    <cfRule type="cellIs" dxfId="285" priority="561" stopIfTrue="1" operator="equal">
      <formula>"S"</formula>
    </cfRule>
    <cfRule type="cellIs" dxfId="284" priority="562" stopIfTrue="1" operator="equal">
      <formula>"D"</formula>
    </cfRule>
  </conditionalFormatting>
  <conditionalFormatting sqref="BK27:BL27">
    <cfRule type="cellIs" dxfId="283" priority="559" stopIfTrue="1" operator="equal">
      <formula>"S"</formula>
    </cfRule>
    <cfRule type="cellIs" dxfId="282" priority="560" stopIfTrue="1" operator="equal">
      <formula>"D"</formula>
    </cfRule>
  </conditionalFormatting>
  <conditionalFormatting sqref="BK27:BL27">
    <cfRule type="cellIs" dxfId="281" priority="567" stopIfTrue="1" operator="equal">
      <formula>"S"</formula>
    </cfRule>
    <cfRule type="cellIs" dxfId="280" priority="568" stopIfTrue="1" operator="equal">
      <formula>"D"</formula>
    </cfRule>
  </conditionalFormatting>
  <conditionalFormatting sqref="BR32:BV33 BR37:BV37 BT36:BV36 BR31 BV31 BU29 BU34:BV34 BV35">
    <cfRule type="cellIs" dxfId="279" priority="557" stopIfTrue="1" operator="equal">
      <formula>"S"</formula>
    </cfRule>
    <cfRule type="cellIs" dxfId="278" priority="558" stopIfTrue="1" operator="equal">
      <formula>"D"</formula>
    </cfRule>
  </conditionalFormatting>
  <conditionalFormatting sqref="BR30">
    <cfRule type="cellIs" dxfId="277" priority="555" stopIfTrue="1" operator="equal">
      <formula>"S"</formula>
    </cfRule>
    <cfRule type="cellIs" dxfId="276" priority="556" stopIfTrue="1" operator="equal">
      <formula>"D"</formula>
    </cfRule>
  </conditionalFormatting>
  <conditionalFormatting sqref="BR30">
    <cfRule type="cellIs" dxfId="275" priority="553" stopIfTrue="1" operator="equal">
      <formula>"S"</formula>
    </cfRule>
    <cfRule type="cellIs" dxfId="274" priority="554" stopIfTrue="1" operator="equal">
      <formula>"D"</formula>
    </cfRule>
  </conditionalFormatting>
  <conditionalFormatting sqref="BT29">
    <cfRule type="cellIs" dxfId="273" priority="551" stopIfTrue="1" operator="equal">
      <formula>"S"</formula>
    </cfRule>
    <cfRule type="cellIs" dxfId="272" priority="552" stopIfTrue="1" operator="equal">
      <formula>"D"</formula>
    </cfRule>
  </conditionalFormatting>
  <conditionalFormatting sqref="BT30">
    <cfRule type="cellIs" dxfId="271" priority="547" stopIfTrue="1" operator="equal">
      <formula>"S"</formula>
    </cfRule>
    <cfRule type="cellIs" dxfId="270" priority="548" stopIfTrue="1" operator="equal">
      <formula>"D"</formula>
    </cfRule>
  </conditionalFormatting>
  <conditionalFormatting sqref="BS35">
    <cfRule type="cellIs" dxfId="269" priority="541" stopIfTrue="1" operator="equal">
      <formula>"S"</formula>
    </cfRule>
    <cfRule type="cellIs" dxfId="268" priority="542" stopIfTrue="1" operator="equal">
      <formula>"D"</formula>
    </cfRule>
  </conditionalFormatting>
  <conditionalFormatting sqref="BS35">
    <cfRule type="cellIs" dxfId="267" priority="539" stopIfTrue="1" operator="equal">
      <formula>"S"</formula>
    </cfRule>
    <cfRule type="cellIs" dxfId="266" priority="540" stopIfTrue="1" operator="equal">
      <formula>"D"</formula>
    </cfRule>
  </conditionalFormatting>
  <conditionalFormatting sqref="BS34">
    <cfRule type="cellIs" dxfId="265" priority="537" stopIfTrue="1" operator="equal">
      <formula>"S"</formula>
    </cfRule>
    <cfRule type="cellIs" dxfId="264" priority="538" stopIfTrue="1" operator="equal">
      <formula>"D"</formula>
    </cfRule>
  </conditionalFormatting>
  <conditionalFormatting sqref="BR36">
    <cfRule type="cellIs" dxfId="263" priority="535" stopIfTrue="1" operator="equal">
      <formula>"S"</formula>
    </cfRule>
    <cfRule type="cellIs" dxfId="262" priority="536" stopIfTrue="1" operator="equal">
      <formula>"D"</formula>
    </cfRule>
  </conditionalFormatting>
  <conditionalFormatting sqref="BR36">
    <cfRule type="cellIs" dxfId="261" priority="533" stopIfTrue="1" operator="equal">
      <formula>"S"</formula>
    </cfRule>
    <cfRule type="cellIs" dxfId="260" priority="534" stopIfTrue="1" operator="equal">
      <formula>"D"</formula>
    </cfRule>
  </conditionalFormatting>
  <conditionalFormatting sqref="BS36">
    <cfRule type="cellIs" dxfId="259" priority="531" stopIfTrue="1" operator="equal">
      <formula>"S"</formula>
    </cfRule>
    <cfRule type="cellIs" dxfId="258" priority="532" stopIfTrue="1" operator="equal">
      <formula>"D"</formula>
    </cfRule>
  </conditionalFormatting>
  <conditionalFormatting sqref="BS36">
    <cfRule type="cellIs" dxfId="257" priority="529" stopIfTrue="1" operator="equal">
      <formula>"S"</formula>
    </cfRule>
    <cfRule type="cellIs" dxfId="256" priority="530" stopIfTrue="1" operator="equal">
      <formula>"D"</formula>
    </cfRule>
  </conditionalFormatting>
  <conditionalFormatting sqref="BU30">
    <cfRule type="cellIs" dxfId="255" priority="549" stopIfTrue="1" operator="equal">
      <formula>"S"</formula>
    </cfRule>
    <cfRule type="cellIs" dxfId="254" priority="550" stopIfTrue="1" operator="equal">
      <formula>"D"</formula>
    </cfRule>
  </conditionalFormatting>
  <conditionalFormatting sqref="BR35">
    <cfRule type="cellIs" dxfId="253" priority="545" stopIfTrue="1" operator="equal">
      <formula>"S"</formula>
    </cfRule>
    <cfRule type="cellIs" dxfId="252" priority="546" stopIfTrue="1" operator="equal">
      <formula>"D"</formula>
    </cfRule>
  </conditionalFormatting>
  <conditionalFormatting sqref="BR35">
    <cfRule type="cellIs" dxfId="251" priority="543" stopIfTrue="1" operator="equal">
      <formula>"S"</formula>
    </cfRule>
    <cfRule type="cellIs" dxfId="250" priority="544" stopIfTrue="1" operator="equal">
      <formula>"D"</formula>
    </cfRule>
  </conditionalFormatting>
  <conditionalFormatting sqref="BR34">
    <cfRule type="cellIs" dxfId="249" priority="527" stopIfTrue="1" operator="equal">
      <formula>"S"</formula>
    </cfRule>
    <cfRule type="cellIs" dxfId="248" priority="528" stopIfTrue="1" operator="equal">
      <formula>"D"</formula>
    </cfRule>
  </conditionalFormatting>
  <conditionalFormatting sqref="BS31:BT31">
    <cfRule type="cellIs" dxfId="247" priority="525" stopIfTrue="1" operator="equal">
      <formula>"S"</formula>
    </cfRule>
    <cfRule type="cellIs" dxfId="246" priority="526" stopIfTrue="1" operator="equal">
      <formula>"D"</formula>
    </cfRule>
  </conditionalFormatting>
  <conditionalFormatting sqref="BR29">
    <cfRule type="cellIs" dxfId="245" priority="523" stopIfTrue="1" operator="equal">
      <formula>"S"</formula>
    </cfRule>
    <cfRule type="cellIs" dxfId="244" priority="524" stopIfTrue="1" operator="equal">
      <formula>"D"</formula>
    </cfRule>
  </conditionalFormatting>
  <conditionalFormatting sqref="BR7:BV13 BR22:BV26 BR21:BT21 BV21 BR15:BV19 BR14 BV14 BT14 BR32:BV37 BR31:BT31 BV31 BR28:BV30 BR27 BU27:BV27 BR20:BS20 BU20:BV20">
    <cfRule type="cellIs" dxfId="243" priority="521" stopIfTrue="1" operator="equal">
      <formula>"S"</formula>
    </cfRule>
    <cfRule type="cellIs" dxfId="242" priority="522" stopIfTrue="1" operator="equal">
      <formula>"D"</formula>
    </cfRule>
  </conditionalFormatting>
  <conditionalFormatting sqref="BS29">
    <cfRule type="cellIs" dxfId="241" priority="519" stopIfTrue="1" operator="equal">
      <formula>"S"</formula>
    </cfRule>
    <cfRule type="cellIs" dxfId="240" priority="520" stopIfTrue="1" operator="equal">
      <formula>"D"</formula>
    </cfRule>
  </conditionalFormatting>
  <conditionalFormatting sqref="BS29">
    <cfRule type="cellIs" dxfId="239" priority="517" stopIfTrue="1" operator="equal">
      <formula>"S"</formula>
    </cfRule>
    <cfRule type="cellIs" dxfId="238" priority="518" stopIfTrue="1" operator="equal">
      <formula>"D"</formula>
    </cfRule>
  </conditionalFormatting>
  <conditionalFormatting sqref="BS30">
    <cfRule type="cellIs" dxfId="237" priority="515" stopIfTrue="1" operator="equal">
      <formula>"S"</formula>
    </cfRule>
    <cfRule type="cellIs" dxfId="236" priority="516" stopIfTrue="1" operator="equal">
      <formula>"D"</formula>
    </cfRule>
  </conditionalFormatting>
  <conditionalFormatting sqref="BS30">
    <cfRule type="cellIs" dxfId="235" priority="513" stopIfTrue="1" operator="equal">
      <formula>"S"</formula>
    </cfRule>
    <cfRule type="cellIs" dxfId="234" priority="514" stopIfTrue="1" operator="equal">
      <formula>"D"</formula>
    </cfRule>
  </conditionalFormatting>
  <conditionalFormatting sqref="BT15">
    <cfRule type="cellIs" dxfId="233" priority="511" stopIfTrue="1" operator="equal">
      <formula>"S"</formula>
    </cfRule>
    <cfRule type="cellIs" dxfId="232" priority="512" stopIfTrue="1" operator="equal">
      <formula>"D"</formula>
    </cfRule>
  </conditionalFormatting>
  <conditionalFormatting sqref="BT21">
    <cfRule type="cellIs" dxfId="231" priority="509" stopIfTrue="1" operator="equal">
      <formula>"S"</formula>
    </cfRule>
    <cfRule type="cellIs" dxfId="230" priority="510" stopIfTrue="1" operator="equal">
      <formula>"D"</formula>
    </cfRule>
  </conditionalFormatting>
  <conditionalFormatting sqref="BR21">
    <cfRule type="cellIs" dxfId="229" priority="507" stopIfTrue="1" operator="equal">
      <formula>"S"</formula>
    </cfRule>
    <cfRule type="cellIs" dxfId="228" priority="508" stopIfTrue="1" operator="equal">
      <formula>"D"</formula>
    </cfRule>
  </conditionalFormatting>
  <conditionalFormatting sqref="BV29">
    <cfRule type="cellIs" dxfId="227" priority="505" stopIfTrue="1" operator="equal">
      <formula>"S"</formula>
    </cfRule>
    <cfRule type="cellIs" dxfId="226" priority="506" stopIfTrue="1" operator="equal">
      <formula>"D"</formula>
    </cfRule>
  </conditionalFormatting>
  <conditionalFormatting sqref="BV29">
    <cfRule type="cellIs" dxfId="225" priority="503" stopIfTrue="1" operator="equal">
      <formula>"S"</formula>
    </cfRule>
    <cfRule type="cellIs" dxfId="224" priority="504" stopIfTrue="1" operator="equal">
      <formula>"D"</formula>
    </cfRule>
  </conditionalFormatting>
  <conditionalFormatting sqref="BV30">
    <cfRule type="cellIs" dxfId="223" priority="501" stopIfTrue="1" operator="equal">
      <formula>"S"</formula>
    </cfRule>
    <cfRule type="cellIs" dxfId="222" priority="502" stopIfTrue="1" operator="equal">
      <formula>"D"</formula>
    </cfRule>
  </conditionalFormatting>
  <conditionalFormatting sqref="BV30">
    <cfRule type="cellIs" dxfId="221" priority="499" stopIfTrue="1" operator="equal">
      <formula>"S"</formula>
    </cfRule>
    <cfRule type="cellIs" dxfId="220" priority="500" stopIfTrue="1" operator="equal">
      <formula>"D"</formula>
    </cfRule>
  </conditionalFormatting>
  <conditionalFormatting sqref="BT13">
    <cfRule type="cellIs" dxfId="219" priority="497" stopIfTrue="1" operator="equal">
      <formula>"S"</formula>
    </cfRule>
    <cfRule type="cellIs" dxfId="218" priority="498" stopIfTrue="1" operator="equal">
      <formula>"D"</formula>
    </cfRule>
  </conditionalFormatting>
  <conditionalFormatting sqref="BT13">
    <cfRule type="cellIs" dxfId="217" priority="495" stopIfTrue="1" operator="equal">
      <formula>"S"</formula>
    </cfRule>
    <cfRule type="cellIs" dxfId="216" priority="496" stopIfTrue="1" operator="equal">
      <formula>"D"</formula>
    </cfRule>
  </conditionalFormatting>
  <conditionalFormatting sqref="BT14">
    <cfRule type="cellIs" dxfId="215" priority="493" stopIfTrue="1" operator="equal">
      <formula>"S"</formula>
    </cfRule>
    <cfRule type="cellIs" dxfId="214" priority="494" stopIfTrue="1" operator="equal">
      <formula>"D"</formula>
    </cfRule>
  </conditionalFormatting>
  <conditionalFormatting sqref="BT14">
    <cfRule type="cellIs" dxfId="213" priority="491" stopIfTrue="1" operator="equal">
      <formula>"S"</formula>
    </cfRule>
    <cfRule type="cellIs" dxfId="212" priority="492" stopIfTrue="1" operator="equal">
      <formula>"D"</formula>
    </cfRule>
  </conditionalFormatting>
  <conditionalFormatting sqref="BS27:BT27">
    <cfRule type="cellIs" dxfId="211" priority="487" stopIfTrue="1" operator="equal">
      <formula>"S"</formula>
    </cfRule>
    <cfRule type="cellIs" dxfId="210" priority="488" stopIfTrue="1" operator="equal">
      <formula>"D"</formula>
    </cfRule>
  </conditionalFormatting>
  <conditionalFormatting sqref="BS27:BT27">
    <cfRule type="cellIs" dxfId="209" priority="485" stopIfTrue="1" operator="equal">
      <formula>"S"</formula>
    </cfRule>
    <cfRule type="cellIs" dxfId="208" priority="486" stopIfTrue="1" operator="equal">
      <formula>"D"</formula>
    </cfRule>
  </conditionalFormatting>
  <conditionalFormatting sqref="BS27:BT27">
    <cfRule type="cellIs" dxfId="207" priority="483" stopIfTrue="1" operator="equal">
      <formula>"S"</formula>
    </cfRule>
    <cfRule type="cellIs" dxfId="206" priority="484" stopIfTrue="1" operator="equal">
      <formula>"D"</formula>
    </cfRule>
  </conditionalFormatting>
  <conditionalFormatting sqref="BS27:BT27">
    <cfRule type="cellIs" dxfId="205" priority="481" stopIfTrue="1" operator="equal">
      <formula>"S"</formula>
    </cfRule>
    <cfRule type="cellIs" dxfId="204" priority="482" stopIfTrue="1" operator="equal">
      <formula>"D"</formula>
    </cfRule>
  </conditionalFormatting>
  <conditionalFormatting sqref="BS27:BT27">
    <cfRule type="cellIs" dxfId="203" priority="489" stopIfTrue="1" operator="equal">
      <formula>"S"</formula>
    </cfRule>
    <cfRule type="cellIs" dxfId="202" priority="490" stopIfTrue="1" operator="equal">
      <formula>"D"</formula>
    </cfRule>
  </conditionalFormatting>
  <conditionalFormatting sqref="BZ32:CD33 BZ37:CD37 CB36:CD36 BZ31 CD31 CC29 CC34:CD34 CD35">
    <cfRule type="cellIs" dxfId="201" priority="479" stopIfTrue="1" operator="equal">
      <formula>"S"</formula>
    </cfRule>
    <cfRule type="cellIs" dxfId="200" priority="480" stopIfTrue="1" operator="equal">
      <formula>"D"</formula>
    </cfRule>
  </conditionalFormatting>
  <conditionalFormatting sqref="BZ30">
    <cfRule type="cellIs" dxfId="199" priority="477" stopIfTrue="1" operator="equal">
      <formula>"S"</formula>
    </cfRule>
    <cfRule type="cellIs" dxfId="198" priority="478" stopIfTrue="1" operator="equal">
      <formula>"D"</formula>
    </cfRule>
  </conditionalFormatting>
  <conditionalFormatting sqref="BZ30">
    <cfRule type="cellIs" dxfId="197" priority="475" stopIfTrue="1" operator="equal">
      <formula>"S"</formula>
    </cfRule>
    <cfRule type="cellIs" dxfId="196" priority="476" stopIfTrue="1" operator="equal">
      <formula>"D"</formula>
    </cfRule>
  </conditionalFormatting>
  <conditionalFormatting sqref="CB29">
    <cfRule type="cellIs" dxfId="195" priority="473" stopIfTrue="1" operator="equal">
      <formula>"S"</formula>
    </cfRule>
    <cfRule type="cellIs" dxfId="194" priority="474" stopIfTrue="1" operator="equal">
      <formula>"D"</formula>
    </cfRule>
  </conditionalFormatting>
  <conditionalFormatting sqref="CB30">
    <cfRule type="cellIs" dxfId="193" priority="469" stopIfTrue="1" operator="equal">
      <formula>"S"</formula>
    </cfRule>
    <cfRule type="cellIs" dxfId="192" priority="470" stopIfTrue="1" operator="equal">
      <formula>"D"</formula>
    </cfRule>
  </conditionalFormatting>
  <conditionalFormatting sqref="CA35">
    <cfRule type="cellIs" dxfId="191" priority="463" stopIfTrue="1" operator="equal">
      <formula>"S"</formula>
    </cfRule>
    <cfRule type="cellIs" dxfId="190" priority="464" stopIfTrue="1" operator="equal">
      <formula>"D"</formula>
    </cfRule>
  </conditionalFormatting>
  <conditionalFormatting sqref="CA35">
    <cfRule type="cellIs" dxfId="189" priority="461" stopIfTrue="1" operator="equal">
      <formula>"S"</formula>
    </cfRule>
    <cfRule type="cellIs" dxfId="188" priority="462" stopIfTrue="1" operator="equal">
      <formula>"D"</formula>
    </cfRule>
  </conditionalFormatting>
  <conditionalFormatting sqref="CA34">
    <cfRule type="cellIs" dxfId="187" priority="459" stopIfTrue="1" operator="equal">
      <formula>"S"</formula>
    </cfRule>
    <cfRule type="cellIs" dxfId="186" priority="460" stopIfTrue="1" operator="equal">
      <formula>"D"</formula>
    </cfRule>
  </conditionalFormatting>
  <conditionalFormatting sqref="BZ36">
    <cfRule type="cellIs" dxfId="185" priority="457" stopIfTrue="1" operator="equal">
      <formula>"S"</formula>
    </cfRule>
    <cfRule type="cellIs" dxfId="184" priority="458" stopIfTrue="1" operator="equal">
      <formula>"D"</formula>
    </cfRule>
  </conditionalFormatting>
  <conditionalFormatting sqref="BZ36">
    <cfRule type="cellIs" dxfId="183" priority="455" stopIfTrue="1" operator="equal">
      <formula>"S"</formula>
    </cfRule>
    <cfRule type="cellIs" dxfId="182" priority="456" stopIfTrue="1" operator="equal">
      <formula>"D"</formula>
    </cfRule>
  </conditionalFormatting>
  <conditionalFormatting sqref="CA36">
    <cfRule type="cellIs" dxfId="181" priority="453" stopIfTrue="1" operator="equal">
      <formula>"S"</formula>
    </cfRule>
    <cfRule type="cellIs" dxfId="180" priority="454" stopIfTrue="1" operator="equal">
      <formula>"D"</formula>
    </cfRule>
  </conditionalFormatting>
  <conditionalFormatting sqref="CA36">
    <cfRule type="cellIs" dxfId="179" priority="451" stopIfTrue="1" operator="equal">
      <formula>"S"</formula>
    </cfRule>
    <cfRule type="cellIs" dxfId="178" priority="452" stopIfTrue="1" operator="equal">
      <formula>"D"</formula>
    </cfRule>
  </conditionalFormatting>
  <conditionalFormatting sqref="CC30">
    <cfRule type="cellIs" dxfId="177" priority="471" stopIfTrue="1" operator="equal">
      <formula>"S"</formula>
    </cfRule>
    <cfRule type="cellIs" dxfId="176" priority="472" stopIfTrue="1" operator="equal">
      <formula>"D"</formula>
    </cfRule>
  </conditionalFormatting>
  <conditionalFormatting sqref="BZ35">
    <cfRule type="cellIs" dxfId="175" priority="467" stopIfTrue="1" operator="equal">
      <formula>"S"</formula>
    </cfRule>
    <cfRule type="cellIs" dxfId="174" priority="468" stopIfTrue="1" operator="equal">
      <formula>"D"</formula>
    </cfRule>
  </conditionalFormatting>
  <conditionalFormatting sqref="BZ35">
    <cfRule type="cellIs" dxfId="173" priority="465" stopIfTrue="1" operator="equal">
      <formula>"S"</formula>
    </cfRule>
    <cfRule type="cellIs" dxfId="172" priority="466" stopIfTrue="1" operator="equal">
      <formula>"D"</formula>
    </cfRule>
  </conditionalFormatting>
  <conditionalFormatting sqref="BZ34">
    <cfRule type="cellIs" dxfId="171" priority="449" stopIfTrue="1" operator="equal">
      <formula>"S"</formula>
    </cfRule>
    <cfRule type="cellIs" dxfId="170" priority="450" stopIfTrue="1" operator="equal">
      <formula>"D"</formula>
    </cfRule>
  </conditionalFormatting>
  <conditionalFormatting sqref="CA31:CB31">
    <cfRule type="cellIs" dxfId="169" priority="447" stopIfTrue="1" operator="equal">
      <formula>"S"</formula>
    </cfRule>
    <cfRule type="cellIs" dxfId="168" priority="448" stopIfTrue="1" operator="equal">
      <formula>"D"</formula>
    </cfRule>
  </conditionalFormatting>
  <conditionalFormatting sqref="BZ29">
    <cfRule type="cellIs" dxfId="167" priority="445" stopIfTrue="1" operator="equal">
      <formula>"S"</formula>
    </cfRule>
    <cfRule type="cellIs" dxfId="166" priority="446" stopIfTrue="1" operator="equal">
      <formula>"D"</formula>
    </cfRule>
  </conditionalFormatting>
  <conditionalFormatting sqref="BZ7:CD13 BZ22:CD26 BZ21:CB21 CD21 BZ15:CD18 BZ14 CD14 CB14 BZ32:CD37 BZ31:CB31 CD31 BZ28:CD30 BZ27 CC27:CD27 BZ20:CD20 BZ19 CB19:CD19">
    <cfRule type="cellIs" dxfId="165" priority="443" stopIfTrue="1" operator="equal">
      <formula>"S"</formula>
    </cfRule>
    <cfRule type="cellIs" dxfId="164" priority="444" stopIfTrue="1" operator="equal">
      <formula>"D"</formula>
    </cfRule>
  </conditionalFormatting>
  <conditionalFormatting sqref="CA29">
    <cfRule type="cellIs" dxfId="163" priority="441" stopIfTrue="1" operator="equal">
      <formula>"S"</formula>
    </cfRule>
    <cfRule type="cellIs" dxfId="162" priority="442" stopIfTrue="1" operator="equal">
      <formula>"D"</formula>
    </cfRule>
  </conditionalFormatting>
  <conditionalFormatting sqref="CA29">
    <cfRule type="cellIs" dxfId="161" priority="439" stopIfTrue="1" operator="equal">
      <formula>"S"</formula>
    </cfRule>
    <cfRule type="cellIs" dxfId="160" priority="440" stopIfTrue="1" operator="equal">
      <formula>"D"</formula>
    </cfRule>
  </conditionalFormatting>
  <conditionalFormatting sqref="CA30">
    <cfRule type="cellIs" dxfId="159" priority="437" stopIfTrue="1" operator="equal">
      <formula>"S"</formula>
    </cfRule>
    <cfRule type="cellIs" dxfId="158" priority="438" stopIfTrue="1" operator="equal">
      <formula>"D"</formula>
    </cfRule>
  </conditionalFormatting>
  <conditionalFormatting sqref="CA30">
    <cfRule type="cellIs" dxfId="157" priority="435" stopIfTrue="1" operator="equal">
      <formula>"S"</formula>
    </cfRule>
    <cfRule type="cellIs" dxfId="156" priority="436" stopIfTrue="1" operator="equal">
      <formula>"D"</formula>
    </cfRule>
  </conditionalFormatting>
  <conditionalFormatting sqref="CB15">
    <cfRule type="cellIs" dxfId="155" priority="433" stopIfTrue="1" operator="equal">
      <formula>"S"</formula>
    </cfRule>
    <cfRule type="cellIs" dxfId="154" priority="434" stopIfTrue="1" operator="equal">
      <formula>"D"</formula>
    </cfRule>
  </conditionalFormatting>
  <conditionalFormatting sqref="CB21">
    <cfRule type="cellIs" dxfId="153" priority="431" stopIfTrue="1" operator="equal">
      <formula>"S"</formula>
    </cfRule>
    <cfRule type="cellIs" dxfId="152" priority="432" stopIfTrue="1" operator="equal">
      <formula>"D"</formula>
    </cfRule>
  </conditionalFormatting>
  <conditionalFormatting sqref="BZ21">
    <cfRule type="cellIs" dxfId="151" priority="429" stopIfTrue="1" operator="equal">
      <formula>"S"</formula>
    </cfRule>
    <cfRule type="cellIs" dxfId="150" priority="430" stopIfTrue="1" operator="equal">
      <formula>"D"</formula>
    </cfRule>
  </conditionalFormatting>
  <conditionalFormatting sqref="CD29">
    <cfRule type="cellIs" dxfId="149" priority="427" stopIfTrue="1" operator="equal">
      <formula>"S"</formula>
    </cfRule>
    <cfRule type="cellIs" dxfId="148" priority="428" stopIfTrue="1" operator="equal">
      <formula>"D"</formula>
    </cfRule>
  </conditionalFormatting>
  <conditionalFormatting sqref="CD29">
    <cfRule type="cellIs" dxfId="147" priority="425" stopIfTrue="1" operator="equal">
      <formula>"S"</formula>
    </cfRule>
    <cfRule type="cellIs" dxfId="146" priority="426" stopIfTrue="1" operator="equal">
      <formula>"D"</formula>
    </cfRule>
  </conditionalFormatting>
  <conditionalFormatting sqref="CD30">
    <cfRule type="cellIs" dxfId="145" priority="423" stopIfTrue="1" operator="equal">
      <formula>"S"</formula>
    </cfRule>
    <cfRule type="cellIs" dxfId="144" priority="424" stopIfTrue="1" operator="equal">
      <formula>"D"</formula>
    </cfRule>
  </conditionalFormatting>
  <conditionalFormatting sqref="CD30">
    <cfRule type="cellIs" dxfId="143" priority="421" stopIfTrue="1" operator="equal">
      <formula>"S"</formula>
    </cfRule>
    <cfRule type="cellIs" dxfId="142" priority="422" stopIfTrue="1" operator="equal">
      <formula>"D"</formula>
    </cfRule>
  </conditionalFormatting>
  <conditionalFormatting sqref="CB13">
    <cfRule type="cellIs" dxfId="141" priority="419" stopIfTrue="1" operator="equal">
      <formula>"S"</formula>
    </cfRule>
    <cfRule type="cellIs" dxfId="140" priority="420" stopIfTrue="1" operator="equal">
      <formula>"D"</formula>
    </cfRule>
  </conditionalFormatting>
  <conditionalFormatting sqref="CB13">
    <cfRule type="cellIs" dxfId="139" priority="417" stopIfTrue="1" operator="equal">
      <formula>"S"</formula>
    </cfRule>
    <cfRule type="cellIs" dxfId="138" priority="418" stopIfTrue="1" operator="equal">
      <formula>"D"</formula>
    </cfRule>
  </conditionalFormatting>
  <conditionalFormatting sqref="CB14">
    <cfRule type="cellIs" dxfId="137" priority="415" stopIfTrue="1" operator="equal">
      <formula>"S"</formula>
    </cfRule>
    <cfRule type="cellIs" dxfId="136" priority="416" stopIfTrue="1" operator="equal">
      <formula>"D"</formula>
    </cfRule>
  </conditionalFormatting>
  <conditionalFormatting sqref="CB14">
    <cfRule type="cellIs" dxfId="135" priority="413" stopIfTrue="1" operator="equal">
      <formula>"S"</formula>
    </cfRule>
    <cfRule type="cellIs" dxfId="134" priority="414" stopIfTrue="1" operator="equal">
      <formula>"D"</formula>
    </cfRule>
  </conditionalFormatting>
  <conditionalFormatting sqref="CA27:CB27">
    <cfRule type="cellIs" dxfId="133" priority="409" stopIfTrue="1" operator="equal">
      <formula>"S"</formula>
    </cfRule>
    <cfRule type="cellIs" dxfId="132" priority="410" stopIfTrue="1" operator="equal">
      <formula>"D"</formula>
    </cfRule>
  </conditionalFormatting>
  <conditionalFormatting sqref="CA27:CB27">
    <cfRule type="cellIs" dxfId="131" priority="407" stopIfTrue="1" operator="equal">
      <formula>"S"</formula>
    </cfRule>
    <cfRule type="cellIs" dxfId="130" priority="408" stopIfTrue="1" operator="equal">
      <formula>"D"</formula>
    </cfRule>
  </conditionalFormatting>
  <conditionalFormatting sqref="CA27:CB27">
    <cfRule type="cellIs" dxfId="129" priority="405" stopIfTrue="1" operator="equal">
      <formula>"S"</formula>
    </cfRule>
    <cfRule type="cellIs" dxfId="128" priority="406" stopIfTrue="1" operator="equal">
      <formula>"D"</formula>
    </cfRule>
  </conditionalFormatting>
  <conditionalFormatting sqref="CA27:CB27">
    <cfRule type="cellIs" dxfId="127" priority="403" stopIfTrue="1" operator="equal">
      <formula>"S"</formula>
    </cfRule>
    <cfRule type="cellIs" dxfId="126" priority="404" stopIfTrue="1" operator="equal">
      <formula>"D"</formula>
    </cfRule>
  </conditionalFormatting>
  <conditionalFormatting sqref="CA27:CB27">
    <cfRule type="cellIs" dxfId="125" priority="411" stopIfTrue="1" operator="equal">
      <formula>"S"</formula>
    </cfRule>
    <cfRule type="cellIs" dxfId="124" priority="412" stopIfTrue="1" operator="equal">
      <formula>"D"</formula>
    </cfRule>
  </conditionalFormatting>
  <conditionalFormatting sqref="CH32:CL33 CJ36:CL36 CH31 CL31 CK29 CK34:CL34 CL35 CH37:CL37">
    <cfRule type="cellIs" dxfId="123" priority="401" stopIfTrue="1" operator="equal">
      <formula>"S"</formula>
    </cfRule>
    <cfRule type="cellIs" dxfId="122" priority="402" stopIfTrue="1" operator="equal">
      <formula>"D"</formula>
    </cfRule>
  </conditionalFormatting>
  <conditionalFormatting sqref="CH30">
    <cfRule type="cellIs" dxfId="121" priority="399" stopIfTrue="1" operator="equal">
      <formula>"S"</formula>
    </cfRule>
    <cfRule type="cellIs" dxfId="120" priority="400" stopIfTrue="1" operator="equal">
      <formula>"D"</formula>
    </cfRule>
  </conditionalFormatting>
  <conditionalFormatting sqref="CH30">
    <cfRule type="cellIs" dxfId="119" priority="397" stopIfTrue="1" operator="equal">
      <formula>"S"</formula>
    </cfRule>
    <cfRule type="cellIs" dxfId="118" priority="398" stopIfTrue="1" operator="equal">
      <formula>"D"</formula>
    </cfRule>
  </conditionalFormatting>
  <conditionalFormatting sqref="CJ29">
    <cfRule type="cellIs" dxfId="117" priority="395" stopIfTrue="1" operator="equal">
      <formula>"S"</formula>
    </cfRule>
    <cfRule type="cellIs" dxfId="116" priority="396" stopIfTrue="1" operator="equal">
      <formula>"D"</formula>
    </cfRule>
  </conditionalFormatting>
  <conditionalFormatting sqref="CJ30">
    <cfRule type="cellIs" dxfId="115" priority="391" stopIfTrue="1" operator="equal">
      <formula>"S"</formula>
    </cfRule>
    <cfRule type="cellIs" dxfId="114" priority="392" stopIfTrue="1" operator="equal">
      <formula>"D"</formula>
    </cfRule>
  </conditionalFormatting>
  <conditionalFormatting sqref="CI35">
    <cfRule type="cellIs" dxfId="113" priority="385" stopIfTrue="1" operator="equal">
      <formula>"S"</formula>
    </cfRule>
    <cfRule type="cellIs" dxfId="112" priority="386" stopIfTrue="1" operator="equal">
      <formula>"D"</formula>
    </cfRule>
  </conditionalFormatting>
  <conditionalFormatting sqref="CI35">
    <cfRule type="cellIs" dxfId="111" priority="383" stopIfTrue="1" operator="equal">
      <formula>"S"</formula>
    </cfRule>
    <cfRule type="cellIs" dxfId="110" priority="384" stopIfTrue="1" operator="equal">
      <formula>"D"</formula>
    </cfRule>
  </conditionalFormatting>
  <conditionalFormatting sqref="CI34">
    <cfRule type="cellIs" dxfId="109" priority="381" stopIfTrue="1" operator="equal">
      <formula>"S"</formula>
    </cfRule>
    <cfRule type="cellIs" dxfId="108" priority="382" stopIfTrue="1" operator="equal">
      <formula>"D"</formula>
    </cfRule>
  </conditionalFormatting>
  <conditionalFormatting sqref="CH36">
    <cfRule type="cellIs" dxfId="107" priority="379" stopIfTrue="1" operator="equal">
      <formula>"S"</formula>
    </cfRule>
    <cfRule type="cellIs" dxfId="106" priority="380" stopIfTrue="1" operator="equal">
      <formula>"D"</formula>
    </cfRule>
  </conditionalFormatting>
  <conditionalFormatting sqref="CH36">
    <cfRule type="cellIs" dxfId="105" priority="377" stopIfTrue="1" operator="equal">
      <formula>"S"</formula>
    </cfRule>
    <cfRule type="cellIs" dxfId="104" priority="378" stopIfTrue="1" operator="equal">
      <formula>"D"</formula>
    </cfRule>
  </conditionalFormatting>
  <conditionalFormatting sqref="CI36">
    <cfRule type="cellIs" dxfId="103" priority="375" stopIfTrue="1" operator="equal">
      <formula>"S"</formula>
    </cfRule>
    <cfRule type="cellIs" dxfId="102" priority="376" stopIfTrue="1" operator="equal">
      <formula>"D"</formula>
    </cfRule>
  </conditionalFormatting>
  <conditionalFormatting sqref="CI36">
    <cfRule type="cellIs" dxfId="101" priority="373" stopIfTrue="1" operator="equal">
      <formula>"S"</formula>
    </cfRule>
    <cfRule type="cellIs" dxfId="100" priority="374" stopIfTrue="1" operator="equal">
      <formula>"D"</formula>
    </cfRule>
  </conditionalFormatting>
  <conditionalFormatting sqref="CK30">
    <cfRule type="cellIs" dxfId="99" priority="393" stopIfTrue="1" operator="equal">
      <formula>"S"</formula>
    </cfRule>
    <cfRule type="cellIs" dxfId="98" priority="394" stopIfTrue="1" operator="equal">
      <formula>"D"</formula>
    </cfRule>
  </conditionalFormatting>
  <conditionalFormatting sqref="CH35">
    <cfRule type="cellIs" dxfId="97" priority="389" stopIfTrue="1" operator="equal">
      <formula>"S"</formula>
    </cfRule>
    <cfRule type="cellIs" dxfId="96" priority="390" stopIfTrue="1" operator="equal">
      <formula>"D"</formula>
    </cfRule>
  </conditionalFormatting>
  <conditionalFormatting sqref="CH35">
    <cfRule type="cellIs" dxfId="95" priority="387" stopIfTrue="1" operator="equal">
      <formula>"S"</formula>
    </cfRule>
    <cfRule type="cellIs" dxfId="94" priority="388" stopIfTrue="1" operator="equal">
      <formula>"D"</formula>
    </cfRule>
  </conditionalFormatting>
  <conditionalFormatting sqref="CH34">
    <cfRule type="cellIs" dxfId="93" priority="371" stopIfTrue="1" operator="equal">
      <formula>"S"</formula>
    </cfRule>
    <cfRule type="cellIs" dxfId="92" priority="372" stopIfTrue="1" operator="equal">
      <formula>"D"</formula>
    </cfRule>
  </conditionalFormatting>
  <conditionalFormatting sqref="CI31:CJ31">
    <cfRule type="cellIs" dxfId="91" priority="369" stopIfTrue="1" operator="equal">
      <formula>"S"</formula>
    </cfRule>
    <cfRule type="cellIs" dxfId="90" priority="370" stopIfTrue="1" operator="equal">
      <formula>"D"</formula>
    </cfRule>
  </conditionalFormatting>
  <conditionalFormatting sqref="CH29">
    <cfRule type="cellIs" dxfId="89" priority="367" stopIfTrue="1" operator="equal">
      <formula>"S"</formula>
    </cfRule>
    <cfRule type="cellIs" dxfId="88" priority="368" stopIfTrue="1" operator="equal">
      <formula>"D"</formula>
    </cfRule>
  </conditionalFormatting>
  <conditionalFormatting sqref="CH7:CL13 CH22:CL26 CH21:CJ21 CL21 CH14 CL14 CJ14 CH31:CJ31 CL31 CH28:CL30 CH27 CK27:CL27 CH15:CL20 CH32:CL37">
    <cfRule type="cellIs" dxfId="87" priority="365" stopIfTrue="1" operator="equal">
      <formula>"S"</formula>
    </cfRule>
    <cfRule type="cellIs" dxfId="86" priority="366" stopIfTrue="1" operator="equal">
      <formula>"D"</formula>
    </cfRule>
  </conditionalFormatting>
  <conditionalFormatting sqref="CI29">
    <cfRule type="cellIs" dxfId="85" priority="363" stopIfTrue="1" operator="equal">
      <formula>"S"</formula>
    </cfRule>
    <cfRule type="cellIs" dxfId="84" priority="364" stopIfTrue="1" operator="equal">
      <formula>"D"</formula>
    </cfRule>
  </conditionalFormatting>
  <conditionalFormatting sqref="CI29">
    <cfRule type="cellIs" dxfId="83" priority="361" stopIfTrue="1" operator="equal">
      <formula>"S"</formula>
    </cfRule>
    <cfRule type="cellIs" dxfId="82" priority="362" stopIfTrue="1" operator="equal">
      <formula>"D"</formula>
    </cfRule>
  </conditionalFormatting>
  <conditionalFormatting sqref="CI30">
    <cfRule type="cellIs" dxfId="81" priority="359" stopIfTrue="1" operator="equal">
      <formula>"S"</formula>
    </cfRule>
    <cfRule type="cellIs" dxfId="80" priority="360" stopIfTrue="1" operator="equal">
      <formula>"D"</formula>
    </cfRule>
  </conditionalFormatting>
  <conditionalFormatting sqref="CI30">
    <cfRule type="cellIs" dxfId="79" priority="357" stopIfTrue="1" operator="equal">
      <formula>"S"</formula>
    </cfRule>
    <cfRule type="cellIs" dxfId="78" priority="358" stopIfTrue="1" operator="equal">
      <formula>"D"</formula>
    </cfRule>
  </conditionalFormatting>
  <conditionalFormatting sqref="CJ15">
    <cfRule type="cellIs" dxfId="77" priority="355" stopIfTrue="1" operator="equal">
      <formula>"S"</formula>
    </cfRule>
    <cfRule type="cellIs" dxfId="76" priority="356" stopIfTrue="1" operator="equal">
      <formula>"D"</formula>
    </cfRule>
  </conditionalFormatting>
  <conditionalFormatting sqref="CJ21">
    <cfRule type="cellIs" dxfId="75" priority="353" stopIfTrue="1" operator="equal">
      <formula>"S"</formula>
    </cfRule>
    <cfRule type="cellIs" dxfId="74" priority="354" stopIfTrue="1" operator="equal">
      <formula>"D"</formula>
    </cfRule>
  </conditionalFormatting>
  <conditionalFormatting sqref="CH21">
    <cfRule type="cellIs" dxfId="73" priority="351" stopIfTrue="1" operator="equal">
      <formula>"S"</formula>
    </cfRule>
    <cfRule type="cellIs" dxfId="72" priority="352" stopIfTrue="1" operator="equal">
      <formula>"D"</formula>
    </cfRule>
  </conditionalFormatting>
  <conditionalFormatting sqref="CL29">
    <cfRule type="cellIs" dxfId="71" priority="349" stopIfTrue="1" operator="equal">
      <formula>"S"</formula>
    </cfRule>
    <cfRule type="cellIs" dxfId="70" priority="350" stopIfTrue="1" operator="equal">
      <formula>"D"</formula>
    </cfRule>
  </conditionalFormatting>
  <conditionalFormatting sqref="CL29">
    <cfRule type="cellIs" dxfId="69" priority="347" stopIfTrue="1" operator="equal">
      <formula>"S"</formula>
    </cfRule>
    <cfRule type="cellIs" dxfId="68" priority="348" stopIfTrue="1" operator="equal">
      <formula>"D"</formula>
    </cfRule>
  </conditionalFormatting>
  <conditionalFormatting sqref="CL30">
    <cfRule type="cellIs" dxfId="67" priority="345" stopIfTrue="1" operator="equal">
      <formula>"S"</formula>
    </cfRule>
    <cfRule type="cellIs" dxfId="66" priority="346" stopIfTrue="1" operator="equal">
      <formula>"D"</formula>
    </cfRule>
  </conditionalFormatting>
  <conditionalFormatting sqref="CL30">
    <cfRule type="cellIs" dxfId="65" priority="343" stopIfTrue="1" operator="equal">
      <formula>"S"</formula>
    </cfRule>
    <cfRule type="cellIs" dxfId="64" priority="344" stopIfTrue="1" operator="equal">
      <formula>"D"</formula>
    </cfRule>
  </conditionalFormatting>
  <conditionalFormatting sqref="CJ13">
    <cfRule type="cellIs" dxfId="63" priority="341" stopIfTrue="1" operator="equal">
      <formula>"S"</formula>
    </cfRule>
    <cfRule type="cellIs" dxfId="62" priority="342" stopIfTrue="1" operator="equal">
      <formula>"D"</formula>
    </cfRule>
  </conditionalFormatting>
  <conditionalFormatting sqref="CJ13">
    <cfRule type="cellIs" dxfId="61" priority="339" stopIfTrue="1" operator="equal">
      <formula>"S"</formula>
    </cfRule>
    <cfRule type="cellIs" dxfId="60" priority="340" stopIfTrue="1" operator="equal">
      <formula>"D"</formula>
    </cfRule>
  </conditionalFormatting>
  <conditionalFormatting sqref="CJ14">
    <cfRule type="cellIs" dxfId="59" priority="337" stopIfTrue="1" operator="equal">
      <formula>"S"</formula>
    </cfRule>
    <cfRule type="cellIs" dxfId="58" priority="338" stopIfTrue="1" operator="equal">
      <formula>"D"</formula>
    </cfRule>
  </conditionalFormatting>
  <conditionalFormatting sqref="CJ14">
    <cfRule type="cellIs" dxfId="57" priority="335" stopIfTrue="1" operator="equal">
      <formula>"S"</formula>
    </cfRule>
    <cfRule type="cellIs" dxfId="56" priority="336" stopIfTrue="1" operator="equal">
      <formula>"D"</formula>
    </cfRule>
  </conditionalFormatting>
  <conditionalFormatting sqref="CI27:CJ27">
    <cfRule type="cellIs" dxfId="55" priority="331" stopIfTrue="1" operator="equal">
      <formula>"S"</formula>
    </cfRule>
    <cfRule type="cellIs" dxfId="54" priority="332" stopIfTrue="1" operator="equal">
      <formula>"D"</formula>
    </cfRule>
  </conditionalFormatting>
  <conditionalFormatting sqref="CI27:CJ27">
    <cfRule type="cellIs" dxfId="53" priority="329" stopIfTrue="1" operator="equal">
      <formula>"S"</formula>
    </cfRule>
    <cfRule type="cellIs" dxfId="52" priority="330" stopIfTrue="1" operator="equal">
      <formula>"D"</formula>
    </cfRule>
  </conditionalFormatting>
  <conditionalFormatting sqref="CI27:CJ27">
    <cfRule type="cellIs" dxfId="51" priority="327" stopIfTrue="1" operator="equal">
      <formula>"S"</formula>
    </cfRule>
    <cfRule type="cellIs" dxfId="50" priority="328" stopIfTrue="1" operator="equal">
      <formula>"D"</formula>
    </cfRule>
  </conditionalFormatting>
  <conditionalFormatting sqref="CI27:CJ27">
    <cfRule type="cellIs" dxfId="49" priority="325" stopIfTrue="1" operator="equal">
      <formula>"S"</formula>
    </cfRule>
    <cfRule type="cellIs" dxfId="48" priority="326" stopIfTrue="1" operator="equal">
      <formula>"D"</formula>
    </cfRule>
  </conditionalFormatting>
  <conditionalFormatting sqref="CI27:CJ27">
    <cfRule type="cellIs" dxfId="47" priority="333" stopIfTrue="1" operator="equal">
      <formula>"S"</formula>
    </cfRule>
    <cfRule type="cellIs" dxfId="46" priority="334" stopIfTrue="1" operator="equal">
      <formula>"D"</formula>
    </cfRule>
  </conditionalFormatting>
  <conditionalFormatting sqref="CA19">
    <cfRule type="cellIs" dxfId="45" priority="195" stopIfTrue="1" operator="equal">
      <formula>"S"</formula>
    </cfRule>
    <cfRule type="cellIs" dxfId="44" priority="196" stopIfTrue="1" operator="equal">
      <formula>"D"</formula>
    </cfRule>
  </conditionalFormatting>
  <conditionalFormatting sqref="BT20">
    <cfRule type="cellIs" dxfId="43" priority="193" stopIfTrue="1" operator="equal">
      <formula>"S"</formula>
    </cfRule>
    <cfRule type="cellIs" dxfId="42" priority="194" stopIfTrue="1" operator="equal">
      <formula>"D"</formula>
    </cfRule>
  </conditionalFormatting>
  <conditionalFormatting sqref="BL21">
    <cfRule type="cellIs" dxfId="41" priority="191" stopIfTrue="1" operator="equal">
      <formula>"S"</formula>
    </cfRule>
    <cfRule type="cellIs" dxfId="40" priority="192" stopIfTrue="1" operator="equal">
      <formula>"D"</formula>
    </cfRule>
  </conditionalFormatting>
  <conditionalFormatting sqref="BD21">
    <cfRule type="cellIs" dxfId="39" priority="189" stopIfTrue="1" operator="equal">
      <formula>"S"</formula>
    </cfRule>
    <cfRule type="cellIs" dxfId="38" priority="190" stopIfTrue="1" operator="equal">
      <formula>"D"</formula>
    </cfRule>
  </conditionalFormatting>
  <conditionalFormatting sqref="AV21">
    <cfRule type="cellIs" dxfId="37" priority="187" stopIfTrue="1" operator="equal">
      <formula>"S"</formula>
    </cfRule>
    <cfRule type="cellIs" dxfId="36" priority="188" stopIfTrue="1" operator="equal">
      <formula>"D"</formula>
    </cfRule>
  </conditionalFormatting>
  <conditionalFormatting sqref="AM21">
    <cfRule type="cellIs" dxfId="35" priority="185" stopIfTrue="1" operator="equal">
      <formula>"S"</formula>
    </cfRule>
    <cfRule type="cellIs" dxfId="34" priority="186" stopIfTrue="1" operator="equal">
      <formula>"D"</formula>
    </cfRule>
  </conditionalFormatting>
  <conditionalFormatting sqref="V11:Z34">
    <cfRule type="cellIs" dxfId="33" priority="179" stopIfTrue="1" operator="equal">
      <formula>"S"</formula>
    </cfRule>
    <cfRule type="cellIs" dxfId="32" priority="180" stopIfTrue="1" operator="equal">
      <formula>"D"</formula>
    </cfRule>
  </conditionalFormatting>
  <conditionalFormatting sqref="N11:R11 N10:O10 Q10:R10 N13:R33 N12 P12:R12">
    <cfRule type="cellIs" dxfId="31" priority="177" stopIfTrue="1" operator="equal">
      <formula>"S"</formula>
    </cfRule>
    <cfRule type="cellIs" dxfId="30" priority="178" stopIfTrue="1" operator="equal">
      <formula>"D"</formula>
    </cfRule>
  </conditionalFormatting>
  <conditionalFormatting sqref="H32:I32 G33 I33:I34 G35:I35">
    <cfRule type="cellIs" dxfId="29" priority="175" stopIfTrue="1" operator="equal">
      <formula>"S"</formula>
    </cfRule>
    <cfRule type="cellIs" dxfId="28" priority="176" stopIfTrue="1" operator="equal">
      <formula>"D"</formula>
    </cfRule>
  </conditionalFormatting>
  <conditionalFormatting sqref="AO47">
    <cfRule type="cellIs" dxfId="27" priority="103" stopIfTrue="1" operator="equal">
      <formula>"S"</formula>
    </cfRule>
    <cfRule type="cellIs" dxfId="26" priority="104" stopIfTrue="1" operator="equal">
      <formula>"D"</formula>
    </cfRule>
  </conditionalFormatting>
  <conditionalFormatting sqref="AO47">
    <cfRule type="cellIs" dxfId="25" priority="101" stopIfTrue="1" operator="equal">
      <formula>"S"</formula>
    </cfRule>
    <cfRule type="cellIs" dxfId="24" priority="102" stopIfTrue="1" operator="equal">
      <formula>"D"</formula>
    </cfRule>
  </conditionalFormatting>
  <conditionalFormatting sqref="AO47">
    <cfRule type="cellIs" dxfId="23" priority="99" stopIfTrue="1" operator="equal">
      <formula>"S"</formula>
    </cfRule>
    <cfRule type="cellIs" dxfId="22" priority="100" stopIfTrue="1" operator="equal">
      <formula>"D"</formula>
    </cfRule>
  </conditionalFormatting>
  <conditionalFormatting sqref="AO47">
    <cfRule type="cellIs" dxfId="21" priority="97" stopIfTrue="1" operator="equal">
      <formula>"S"</formula>
    </cfRule>
    <cfRule type="cellIs" dxfId="20" priority="98" stopIfTrue="1" operator="equal">
      <formula>"D"</formula>
    </cfRule>
  </conditionalFormatting>
  <conditionalFormatting sqref="AO47">
    <cfRule type="cellIs" dxfId="19" priority="95" stopIfTrue="1" operator="equal">
      <formula>"S"</formula>
    </cfRule>
    <cfRule type="cellIs" dxfId="18" priority="96" stopIfTrue="1" operator="equal">
      <formula>"D"</formula>
    </cfRule>
  </conditionalFormatting>
  <conditionalFormatting sqref="P10">
    <cfRule type="cellIs" dxfId="17" priority="49" stopIfTrue="1" operator="equal">
      <formula>"S"</formula>
    </cfRule>
    <cfRule type="cellIs" dxfId="16" priority="50" stopIfTrue="1" operator="equal">
      <formula>"D"</formula>
    </cfRule>
  </conditionalFormatting>
  <conditionalFormatting sqref="P10">
    <cfRule type="cellIs" dxfId="15" priority="47" stopIfTrue="1" operator="equal">
      <formula>"S"</formula>
    </cfRule>
    <cfRule type="cellIs" dxfId="14" priority="48" stopIfTrue="1" operator="equal">
      <formula>"D"</formula>
    </cfRule>
  </conditionalFormatting>
  <conditionalFormatting sqref="G34">
    <cfRule type="cellIs" dxfId="13" priority="45" stopIfTrue="1" operator="equal">
      <formula>"S"</formula>
    </cfRule>
    <cfRule type="cellIs" dxfId="12" priority="46" stopIfTrue="1" operator="equal">
      <formula>"D"</formula>
    </cfRule>
  </conditionalFormatting>
  <conditionalFormatting sqref="G34">
    <cfRule type="cellIs" dxfId="11" priority="43" stopIfTrue="1" operator="equal">
      <formula>"S"</formula>
    </cfRule>
    <cfRule type="cellIs" dxfId="10" priority="44" stopIfTrue="1" operator="equal">
      <formula>"D"</formula>
    </cfRule>
  </conditionalFormatting>
  <conditionalFormatting sqref="N7">
    <cfRule type="cellIs" dxfId="9" priority="41" stopIfTrue="1" operator="equal">
      <formula>"S"</formula>
    </cfRule>
    <cfRule type="cellIs" dxfId="8" priority="42" stopIfTrue="1" operator="equal">
      <formula>"D"</formula>
    </cfRule>
  </conditionalFormatting>
  <conditionalFormatting sqref="F37">
    <cfRule type="cellIs" dxfId="7" priority="29" stopIfTrue="1" operator="equal">
      <formula>"S"</formula>
    </cfRule>
    <cfRule type="cellIs" dxfId="6" priority="30" stopIfTrue="1" operator="equal">
      <formula>"D"</formula>
    </cfRule>
  </conditionalFormatting>
  <conditionalFormatting sqref="F37">
    <cfRule type="cellIs" dxfId="5" priority="27" stopIfTrue="1" operator="equal">
      <formula>"S"</formula>
    </cfRule>
    <cfRule type="cellIs" dxfId="4" priority="28" stopIfTrue="1" operator="equal">
      <formula>"D"</formula>
    </cfRule>
  </conditionalFormatting>
  <conditionalFormatting sqref="O7">
    <cfRule type="cellIs" dxfId="3" priority="25" stopIfTrue="1" operator="equal">
      <formula>"S"</formula>
    </cfRule>
    <cfRule type="cellIs" dxfId="2" priority="26" stopIfTrue="1" operator="equal">
      <formula>"D"</formula>
    </cfRule>
  </conditionalFormatting>
  <conditionalFormatting sqref="X7:X9">
    <cfRule type="cellIs" dxfId="1" priority="1" stopIfTrue="1" operator="equal">
      <formula>"S"</formula>
    </cfRule>
    <cfRule type="cellIs" dxfId="0" priority="2" stopIfTrue="1" operator="equal">
      <formula>"D"</formula>
    </cfRule>
  </conditionalFormatting>
  <printOptions horizontalCentered="1" verticalCentered="1"/>
  <pageMargins left="0.63" right="0.71" top="0" bottom="0" header="0" footer="0"/>
  <pageSetup paperSize="9" scale="36" orientation="landscape" horizontalDpi="300" verticalDpi="300" r:id="rId1"/>
  <headerFooter alignWithMargins="0">
    <oddFooter>&amp;L&amp;D&amp;R&amp;F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80" r:id="rId4" name="Button 36">
              <controlPr defaultSize="0" print="0" autoFill="0" autoPict="0" macro="[0]!Plan2.agenda">
                <anchor moveWithCells="1" sizeWithCells="1">
                  <from>
                    <xdr:col>93</xdr:col>
                    <xdr:colOff>323850</xdr:colOff>
                    <xdr:row>10</xdr:row>
                    <xdr:rowOff>180975</xdr:rowOff>
                  </from>
                  <to>
                    <xdr:col>95</xdr:col>
                    <xdr:colOff>219075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1" r:id="rId5" name="Button 37">
              <controlPr defaultSize="0" print="0" autoFill="0" autoPict="0" macro="[0]!Planilha2.verificaAgenda">
                <anchor moveWithCells="1" sizeWithCells="1">
                  <from>
                    <xdr:col>93</xdr:col>
                    <xdr:colOff>361950</xdr:colOff>
                    <xdr:row>15</xdr:row>
                    <xdr:rowOff>19050</xdr:rowOff>
                  </from>
                  <to>
                    <xdr:col>95</xdr:col>
                    <xdr:colOff>200025</xdr:colOff>
                    <xdr:row>18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3" r:id="rId6" name="Button 39">
              <controlPr defaultSize="0" print="0" autoFill="0" autoPict="0" macro="[0]!Planilha5.remarcar">
                <anchor moveWithCells="1" sizeWithCells="1">
                  <from>
                    <xdr:col>93</xdr:col>
                    <xdr:colOff>400050</xdr:colOff>
                    <xdr:row>19</xdr:row>
                    <xdr:rowOff>209550</xdr:rowOff>
                  </from>
                  <to>
                    <xdr:col>95</xdr:col>
                    <xdr:colOff>209550</xdr:colOff>
                    <xdr:row>22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:CT161"/>
  <sheetViews>
    <sheetView zoomScale="101" zoomScaleNormal="101" zoomScaleSheetLayoutView="7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E23" sqref="E23"/>
    </sheetView>
  </sheetViews>
  <sheetFormatPr defaultColWidth="11.42578125" defaultRowHeight="12.75" x14ac:dyDescent="0.2"/>
  <cols>
    <col min="1" max="1" width="1.42578125" style="15" customWidth="1"/>
    <col min="2" max="2" width="13.42578125" style="15" customWidth="1"/>
    <col min="3" max="3" width="17.42578125" style="15" customWidth="1"/>
    <col min="4" max="4" width="12.42578125" style="15" customWidth="1"/>
    <col min="5" max="5" width="87" style="15" customWidth="1"/>
    <col min="6" max="6" width="51.42578125" style="15" customWidth="1"/>
    <col min="7" max="7" width="1.42578125" style="15" customWidth="1"/>
    <col min="8" max="8" width="0" style="15" hidden="1" customWidth="1"/>
    <col min="9" max="16384" width="11.42578125" style="15"/>
  </cols>
  <sheetData>
    <row r="1" spans="1:98" ht="30.75" x14ac:dyDescent="0.2">
      <c r="B1" s="55"/>
      <c r="C1" s="55"/>
      <c r="D1" s="55"/>
      <c r="E1" s="168" t="s">
        <v>58</v>
      </c>
      <c r="F1" s="169">
        <f>SUM(D6:D161)/8</f>
        <v>0</v>
      </c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5"/>
      <c r="AK1" s="55"/>
      <c r="AL1" s="55"/>
      <c r="AM1" s="55"/>
      <c r="AN1" s="55"/>
      <c r="AO1" s="55"/>
      <c r="AP1" s="55"/>
      <c r="AQ1" s="55"/>
      <c r="AR1" s="55"/>
      <c r="AS1" s="55"/>
      <c r="AT1" s="55"/>
      <c r="AU1" s="55"/>
      <c r="AV1" s="55"/>
      <c r="AW1" s="55"/>
      <c r="AX1" s="55"/>
      <c r="AY1" s="55"/>
      <c r="AZ1" s="55"/>
      <c r="BA1" s="55"/>
      <c r="BB1" s="55"/>
      <c r="BC1" s="55"/>
      <c r="BD1" s="55"/>
      <c r="BE1" s="55"/>
      <c r="BF1" s="55"/>
      <c r="BG1" s="55"/>
      <c r="BH1" s="55"/>
      <c r="BI1" s="55"/>
      <c r="BJ1" s="55"/>
      <c r="BK1" s="55"/>
      <c r="BL1" s="55"/>
      <c r="BM1" s="55"/>
      <c r="BN1" s="55"/>
      <c r="BO1" s="55"/>
      <c r="BP1" s="55"/>
      <c r="BQ1" s="55"/>
      <c r="BR1" s="55"/>
      <c r="BS1" s="55"/>
      <c r="BT1" s="55"/>
      <c r="BU1" s="55"/>
      <c r="BV1" s="55"/>
      <c r="BW1" s="55"/>
      <c r="BX1" s="55"/>
      <c r="BY1" s="55"/>
      <c r="BZ1" s="55"/>
      <c r="CA1" s="55"/>
      <c r="CB1" s="55"/>
      <c r="CC1" s="55"/>
      <c r="CD1" s="55"/>
      <c r="CE1" s="55"/>
      <c r="CF1" s="55"/>
      <c r="CG1" s="55"/>
      <c r="CH1" s="55"/>
      <c r="CI1" s="55"/>
      <c r="CJ1" s="55"/>
      <c r="CK1" s="55"/>
      <c r="CL1" s="55"/>
      <c r="CM1" s="55"/>
      <c r="CN1" s="55"/>
      <c r="CO1" s="55"/>
      <c r="CP1" s="55"/>
      <c r="CQ1" s="55"/>
      <c r="CR1" s="55"/>
      <c r="CS1" s="55"/>
      <c r="CT1" s="55"/>
    </row>
    <row r="2" spans="1:98" ht="30.75" x14ac:dyDescent="0.2">
      <c r="A2" s="55"/>
      <c r="B2" s="303" t="s">
        <v>108</v>
      </c>
      <c r="C2" s="303"/>
      <c r="D2" s="303"/>
      <c r="E2" s="303"/>
      <c r="F2" s="303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  <c r="AE2" s="55"/>
      <c r="AF2" s="55"/>
      <c r="AG2" s="55"/>
      <c r="AH2" s="55"/>
      <c r="AI2" s="55"/>
      <c r="AJ2" s="55"/>
      <c r="AK2" s="55"/>
      <c r="AL2" s="55"/>
      <c r="AM2" s="55"/>
      <c r="AN2" s="55"/>
      <c r="AO2" s="55"/>
      <c r="AP2" s="55"/>
      <c r="AQ2" s="55"/>
      <c r="AR2" s="55"/>
      <c r="AS2" s="55"/>
      <c r="AT2" s="55"/>
      <c r="AU2" s="55"/>
      <c r="AV2" s="55"/>
      <c r="AW2" s="55"/>
      <c r="AX2" s="55"/>
      <c r="AY2" s="55"/>
      <c r="AZ2" s="55"/>
      <c r="BA2" s="55"/>
      <c r="BB2" s="55"/>
      <c r="BC2" s="55"/>
      <c r="BD2" s="55"/>
      <c r="BE2" s="55"/>
      <c r="BF2" s="55"/>
      <c r="BG2" s="55"/>
      <c r="BH2" s="55"/>
      <c r="BI2" s="55"/>
      <c r="BJ2" s="55"/>
      <c r="BK2" s="55"/>
      <c r="BL2" s="55"/>
      <c r="BM2" s="55"/>
      <c r="BN2" s="55"/>
      <c r="BO2" s="55"/>
      <c r="BP2" s="55"/>
      <c r="BQ2" s="55"/>
      <c r="BR2" s="55"/>
      <c r="BS2" s="55"/>
      <c r="BT2" s="55"/>
      <c r="BU2" s="55"/>
      <c r="BV2" s="55"/>
      <c r="BW2" s="55"/>
      <c r="BX2" s="55"/>
      <c r="BY2" s="55"/>
      <c r="BZ2" s="55"/>
      <c r="CA2" s="55"/>
      <c r="CB2" s="55"/>
      <c r="CC2" s="55"/>
      <c r="CD2" s="55"/>
      <c r="CE2" s="55"/>
      <c r="CF2" s="55"/>
      <c r="CG2" s="55"/>
      <c r="CH2" s="55"/>
      <c r="CI2" s="55"/>
      <c r="CJ2" s="55"/>
      <c r="CK2" s="55"/>
      <c r="CL2" s="55"/>
      <c r="CM2" s="55"/>
      <c r="CN2" s="55"/>
      <c r="CO2" s="55"/>
      <c r="CP2" s="55"/>
      <c r="CQ2" s="55"/>
      <c r="CR2" s="55"/>
      <c r="CS2" s="55"/>
      <c r="CT2" s="55"/>
    </row>
    <row r="3" spans="1:98" ht="13.5" thickBot="1" x14ac:dyDescent="0.25"/>
    <row r="4" spans="1:98" x14ac:dyDescent="0.2">
      <c r="B4" s="26" t="s">
        <v>33</v>
      </c>
      <c r="C4" s="27" t="s">
        <v>0</v>
      </c>
      <c r="D4" s="27" t="s">
        <v>16</v>
      </c>
      <c r="E4" s="27" t="s">
        <v>34</v>
      </c>
      <c r="F4" s="28" t="s">
        <v>35</v>
      </c>
    </row>
    <row r="5" spans="1:98" s="24" customFormat="1" ht="13.5" thickBot="1" x14ac:dyDescent="0.25">
      <c r="B5" s="76"/>
      <c r="C5" s="77"/>
      <c r="D5" s="77"/>
      <c r="E5" s="78"/>
      <c r="F5" s="79"/>
    </row>
    <row r="6" spans="1:98" s="24" customFormat="1" x14ac:dyDescent="0.2">
      <c r="B6" s="227"/>
      <c r="C6" s="134"/>
      <c r="D6" s="129"/>
      <c r="E6" s="136"/>
      <c r="F6" s="138"/>
    </row>
    <row r="7" spans="1:98" s="24" customFormat="1" x14ac:dyDescent="0.2">
      <c r="B7" s="60"/>
      <c r="C7" s="135"/>
      <c r="D7" s="1"/>
      <c r="E7" s="137"/>
      <c r="F7" s="139"/>
    </row>
    <row r="8" spans="1:98" s="24" customFormat="1" x14ac:dyDescent="0.2">
      <c r="B8" s="60"/>
      <c r="C8" s="135"/>
      <c r="D8" s="1"/>
      <c r="E8" s="137"/>
      <c r="F8" s="139"/>
    </row>
    <row r="9" spans="1:98" s="24" customFormat="1" x14ac:dyDescent="0.2">
      <c r="B9" s="60"/>
      <c r="C9" s="135"/>
      <c r="D9" s="1"/>
      <c r="E9" s="137"/>
      <c r="F9" s="139"/>
      <c r="H9" s="24" t="str">
        <f t="shared" ref="H9" si="0">IF(B9&lt;&gt;"",MONTH(B9),"")</f>
        <v/>
      </c>
    </row>
    <row r="10" spans="1:98" s="24" customFormat="1" x14ac:dyDescent="0.2">
      <c r="B10" s="60"/>
      <c r="C10" s="135"/>
      <c r="D10" s="1"/>
      <c r="E10" s="137"/>
      <c r="F10" s="139"/>
      <c r="H10" s="24" t="str">
        <f t="shared" ref="H10" si="1">IF(B10&lt;&gt;"",MONTH(B10),"")</f>
        <v/>
      </c>
    </row>
    <row r="11" spans="1:98" s="24" customFormat="1" x14ac:dyDescent="0.2">
      <c r="B11" s="60"/>
      <c r="C11" s="135"/>
      <c r="D11" s="1"/>
      <c r="E11" s="137"/>
      <c r="F11" s="139"/>
      <c r="H11" s="24" t="str">
        <f>IF(B11&lt;&gt;"",MONTH(B11),"")</f>
        <v/>
      </c>
    </row>
    <row r="12" spans="1:98" s="24" customFormat="1" x14ac:dyDescent="0.2">
      <c r="B12" s="60"/>
      <c r="C12" s="135"/>
      <c r="D12" s="1"/>
      <c r="E12" s="137"/>
      <c r="F12" s="139"/>
      <c r="H12" s="24" t="str">
        <f>IF(B12&lt;&gt;"",MONTH(B12),"")</f>
        <v/>
      </c>
    </row>
    <row r="13" spans="1:98" s="24" customFormat="1" x14ac:dyDescent="0.2">
      <c r="B13" s="60"/>
      <c r="C13" s="135"/>
      <c r="D13" s="1"/>
      <c r="E13" s="137"/>
      <c r="F13" s="139"/>
      <c r="H13" s="24" t="str">
        <f>IF(B13&lt;&gt;"",MONTH(B13),"")</f>
        <v/>
      </c>
    </row>
    <row r="14" spans="1:98" s="24" customFormat="1" x14ac:dyDescent="0.2">
      <c r="B14" s="60"/>
      <c r="C14" s="135"/>
      <c r="D14" s="1"/>
      <c r="E14" s="137"/>
      <c r="F14" s="139"/>
      <c r="H14" s="24" t="str">
        <f>IF(B14&lt;&gt;"",MONTH(B14),"")</f>
        <v/>
      </c>
    </row>
    <row r="15" spans="1:98" s="24" customFormat="1" x14ac:dyDescent="0.2">
      <c r="B15" s="60"/>
      <c r="C15" s="135"/>
      <c r="D15" s="1"/>
      <c r="E15" s="137"/>
      <c r="F15" s="139"/>
      <c r="H15" s="24" t="str">
        <f>IF(B15&lt;&gt;"",MONTH(B15),"")</f>
        <v/>
      </c>
    </row>
    <row r="16" spans="1:98" s="24" customFormat="1" x14ac:dyDescent="0.2">
      <c r="B16" s="60"/>
      <c r="C16" s="135"/>
      <c r="D16" s="1"/>
      <c r="E16" s="137"/>
      <c r="F16" s="139"/>
      <c r="H16" s="24" t="str">
        <f t="shared" ref="H16:H18" si="2">IF(B16&lt;&gt;"",MONTH(B16),"")</f>
        <v/>
      </c>
    </row>
    <row r="17" spans="2:8" s="24" customFormat="1" x14ac:dyDescent="0.2">
      <c r="B17" s="60"/>
      <c r="C17" s="135"/>
      <c r="D17" s="1"/>
      <c r="E17" s="137"/>
      <c r="F17" s="139"/>
      <c r="H17" s="24" t="str">
        <f t="shared" si="2"/>
        <v/>
      </c>
    </row>
    <row r="18" spans="2:8" s="24" customFormat="1" x14ac:dyDescent="0.2">
      <c r="B18" s="60"/>
      <c r="C18" s="135"/>
      <c r="D18" s="1"/>
      <c r="E18" s="137"/>
      <c r="F18" s="139"/>
      <c r="H18" s="24" t="str">
        <f t="shared" si="2"/>
        <v/>
      </c>
    </row>
    <row r="19" spans="2:8" s="24" customFormat="1" x14ac:dyDescent="0.2">
      <c r="B19" s="60"/>
      <c r="C19" s="135"/>
      <c r="D19" s="1"/>
      <c r="E19" s="137"/>
      <c r="F19" s="139"/>
      <c r="H19" s="24" t="str">
        <f t="shared" ref="H19:H20" si="3">IF(B19&lt;&gt;"",MONTH(B19),"")</f>
        <v/>
      </c>
    </row>
    <row r="20" spans="2:8" s="24" customFormat="1" x14ac:dyDescent="0.2">
      <c r="B20" s="60"/>
      <c r="C20" s="135"/>
      <c r="D20" s="1"/>
      <c r="E20" s="137"/>
      <c r="F20" s="139"/>
      <c r="H20" s="24" t="str">
        <f t="shared" si="3"/>
        <v/>
      </c>
    </row>
    <row r="21" spans="2:8" s="24" customFormat="1" x14ac:dyDescent="0.2">
      <c r="B21" s="60"/>
      <c r="C21" s="135"/>
      <c r="D21" s="1"/>
      <c r="E21" s="137"/>
      <c r="F21" s="139"/>
      <c r="H21" s="24" t="str">
        <f t="shared" ref="H21" si="4">IF(B21&lt;&gt;"",MONTH(B21),"")</f>
        <v/>
      </c>
    </row>
    <row r="22" spans="2:8" s="24" customFormat="1" x14ac:dyDescent="0.2">
      <c r="B22" s="60"/>
      <c r="C22" s="135"/>
      <c r="D22" s="1"/>
      <c r="E22" s="137"/>
      <c r="F22" s="139"/>
      <c r="H22" s="24" t="str">
        <f t="shared" ref="H22:H83" si="5">IF(B22&lt;&gt;"",MONTH(B22),"")</f>
        <v/>
      </c>
    </row>
    <row r="23" spans="2:8" s="24" customFormat="1" x14ac:dyDescent="0.2">
      <c r="B23" s="60"/>
      <c r="C23" s="135"/>
      <c r="D23" s="1"/>
      <c r="E23" s="137"/>
      <c r="F23" s="139"/>
      <c r="H23" s="24" t="str">
        <f t="shared" si="5"/>
        <v/>
      </c>
    </row>
    <row r="24" spans="2:8" s="24" customFormat="1" x14ac:dyDescent="0.2">
      <c r="B24" s="60"/>
      <c r="C24" s="135"/>
      <c r="D24" s="1"/>
      <c r="E24" s="137"/>
      <c r="F24" s="139"/>
      <c r="H24" s="24" t="str">
        <f>IF(B24&lt;&gt;"",MONTH(B24),"")</f>
        <v/>
      </c>
    </row>
    <row r="25" spans="2:8" s="24" customFormat="1" x14ac:dyDescent="0.2">
      <c r="B25" s="60"/>
      <c r="C25" s="135"/>
      <c r="D25" s="1"/>
      <c r="E25" s="137"/>
      <c r="F25" s="139"/>
      <c r="H25" s="24" t="str">
        <f t="shared" si="5"/>
        <v/>
      </c>
    </row>
    <row r="26" spans="2:8" s="24" customFormat="1" x14ac:dyDescent="0.2">
      <c r="B26" s="60"/>
      <c r="C26" s="135"/>
      <c r="D26" s="1"/>
      <c r="E26" s="137"/>
      <c r="F26" s="139"/>
      <c r="H26" s="24" t="str">
        <f t="shared" si="5"/>
        <v/>
      </c>
    </row>
    <row r="27" spans="2:8" s="24" customFormat="1" x14ac:dyDescent="0.2">
      <c r="B27" s="60"/>
      <c r="C27" s="135"/>
      <c r="D27" s="1"/>
      <c r="E27" s="137"/>
      <c r="F27" s="139"/>
      <c r="H27" s="24" t="str">
        <f t="shared" si="5"/>
        <v/>
      </c>
    </row>
    <row r="28" spans="2:8" s="24" customFormat="1" x14ac:dyDescent="0.2">
      <c r="B28" s="60"/>
      <c r="C28" s="135"/>
      <c r="D28" s="1"/>
      <c r="E28" s="137"/>
      <c r="F28" s="139"/>
      <c r="H28" s="24" t="str">
        <f t="shared" si="5"/>
        <v/>
      </c>
    </row>
    <row r="29" spans="2:8" s="24" customFormat="1" x14ac:dyDescent="0.2">
      <c r="B29" s="60"/>
      <c r="C29" s="135"/>
      <c r="D29" s="1"/>
      <c r="E29" s="137"/>
      <c r="F29" s="139"/>
      <c r="H29" s="24" t="str">
        <f t="shared" si="5"/>
        <v/>
      </c>
    </row>
    <row r="30" spans="2:8" s="24" customFormat="1" x14ac:dyDescent="0.2">
      <c r="B30" s="60"/>
      <c r="C30" s="135"/>
      <c r="D30" s="1"/>
      <c r="E30" s="137"/>
      <c r="F30" s="149"/>
      <c r="H30" s="24" t="str">
        <f t="shared" si="5"/>
        <v/>
      </c>
    </row>
    <row r="31" spans="2:8" s="24" customFormat="1" x14ac:dyDescent="0.2">
      <c r="B31" s="60"/>
      <c r="C31" s="135"/>
      <c r="D31" s="1"/>
      <c r="E31" s="137"/>
      <c r="F31" s="139"/>
      <c r="H31" s="24" t="str">
        <f t="shared" si="5"/>
        <v/>
      </c>
    </row>
    <row r="32" spans="2:8" s="24" customFormat="1" x14ac:dyDescent="0.2">
      <c r="B32" s="60"/>
      <c r="C32" s="135"/>
      <c r="D32" s="1"/>
      <c r="E32" s="137"/>
      <c r="F32" s="139"/>
      <c r="H32" s="24" t="str">
        <f t="shared" si="5"/>
        <v/>
      </c>
    </row>
    <row r="33" spans="2:8" s="24" customFormat="1" x14ac:dyDescent="0.2">
      <c r="B33" s="61"/>
      <c r="C33" s="135"/>
      <c r="D33" s="1"/>
      <c r="E33" s="137"/>
      <c r="F33" s="139"/>
      <c r="H33" s="24" t="str">
        <f t="shared" si="5"/>
        <v/>
      </c>
    </row>
    <row r="34" spans="2:8" s="24" customFormat="1" x14ac:dyDescent="0.2">
      <c r="B34" s="61"/>
      <c r="C34" s="135"/>
      <c r="D34" s="1"/>
      <c r="E34" s="137"/>
      <c r="F34" s="150"/>
      <c r="H34" s="24" t="str">
        <f t="shared" si="5"/>
        <v/>
      </c>
    </row>
    <row r="35" spans="2:8" s="24" customFormat="1" x14ac:dyDescent="0.2">
      <c r="B35" s="60"/>
      <c r="C35" s="135"/>
      <c r="D35" s="1"/>
      <c r="E35" s="137"/>
      <c r="F35" s="139"/>
      <c r="H35" s="24" t="str">
        <f t="shared" si="5"/>
        <v/>
      </c>
    </row>
    <row r="36" spans="2:8" s="24" customFormat="1" x14ac:dyDescent="0.2">
      <c r="B36" s="60"/>
      <c r="C36" s="135"/>
      <c r="D36" s="1"/>
      <c r="E36" s="137"/>
      <c r="F36" s="139"/>
      <c r="H36" s="24" t="str">
        <f t="shared" si="5"/>
        <v/>
      </c>
    </row>
    <row r="37" spans="2:8" s="24" customFormat="1" x14ac:dyDescent="0.2">
      <c r="B37" s="61"/>
      <c r="C37" s="135"/>
      <c r="D37" s="1"/>
      <c r="E37" s="137"/>
      <c r="F37" s="150"/>
      <c r="H37" s="24" t="str">
        <f t="shared" si="5"/>
        <v/>
      </c>
    </row>
    <row r="38" spans="2:8" s="24" customFormat="1" x14ac:dyDescent="0.2">
      <c r="B38" s="61"/>
      <c r="C38" s="135"/>
      <c r="D38" s="1"/>
      <c r="E38" s="137"/>
      <c r="F38" s="150"/>
      <c r="H38" s="24" t="str">
        <f t="shared" si="5"/>
        <v/>
      </c>
    </row>
    <row r="39" spans="2:8" s="24" customFormat="1" x14ac:dyDescent="0.2">
      <c r="B39" s="61"/>
      <c r="C39" s="135"/>
      <c r="D39" s="1"/>
      <c r="E39" s="137"/>
      <c r="F39" s="150"/>
      <c r="H39" s="24" t="str">
        <f t="shared" si="5"/>
        <v/>
      </c>
    </row>
    <row r="40" spans="2:8" s="24" customFormat="1" x14ac:dyDescent="0.2">
      <c r="B40" s="61"/>
      <c r="C40" s="135"/>
      <c r="D40" s="1"/>
      <c r="E40" s="137"/>
      <c r="F40" s="150"/>
      <c r="H40" s="24" t="str">
        <f t="shared" si="5"/>
        <v/>
      </c>
    </row>
    <row r="41" spans="2:8" s="24" customFormat="1" x14ac:dyDescent="0.2">
      <c r="B41" s="60"/>
      <c r="C41" s="135"/>
      <c r="D41" s="1"/>
      <c r="E41" s="137"/>
      <c r="F41" s="139"/>
      <c r="H41" s="24" t="str">
        <f t="shared" si="5"/>
        <v/>
      </c>
    </row>
    <row r="42" spans="2:8" s="24" customFormat="1" x14ac:dyDescent="0.2">
      <c r="B42" s="60"/>
      <c r="C42" s="135"/>
      <c r="D42" s="1"/>
      <c r="E42" s="137"/>
      <c r="F42" s="139"/>
      <c r="H42" s="24" t="str">
        <f t="shared" si="5"/>
        <v/>
      </c>
    </row>
    <row r="43" spans="2:8" s="24" customFormat="1" x14ac:dyDescent="0.2">
      <c r="B43" s="60"/>
      <c r="C43" s="135"/>
      <c r="D43" s="1"/>
      <c r="E43" s="137"/>
      <c r="F43" s="149"/>
      <c r="H43" s="24" t="str">
        <f t="shared" si="5"/>
        <v/>
      </c>
    </row>
    <row r="44" spans="2:8" s="24" customFormat="1" x14ac:dyDescent="0.2">
      <c r="B44" s="60"/>
      <c r="C44" s="135"/>
      <c r="D44" s="1"/>
      <c r="E44" s="137"/>
      <c r="F44" s="149"/>
      <c r="H44" s="24" t="str">
        <f t="shared" si="5"/>
        <v/>
      </c>
    </row>
    <row r="45" spans="2:8" s="24" customFormat="1" x14ac:dyDescent="0.2">
      <c r="B45" s="60"/>
      <c r="C45" s="135"/>
      <c r="D45" s="1"/>
      <c r="E45" s="137"/>
      <c r="F45" s="149"/>
      <c r="H45" s="24" t="str">
        <f t="shared" si="5"/>
        <v/>
      </c>
    </row>
    <row r="46" spans="2:8" s="24" customFormat="1" x14ac:dyDescent="0.2">
      <c r="B46" s="60"/>
      <c r="C46" s="135"/>
      <c r="D46" s="1"/>
      <c r="E46" s="137"/>
      <c r="F46" s="139"/>
      <c r="H46" s="24" t="str">
        <f t="shared" si="5"/>
        <v/>
      </c>
    </row>
    <row r="47" spans="2:8" s="24" customFormat="1" x14ac:dyDescent="0.2">
      <c r="B47" s="60"/>
      <c r="C47" s="135"/>
      <c r="D47" s="1"/>
      <c r="E47" s="137"/>
      <c r="F47" s="139"/>
      <c r="H47" s="24" t="str">
        <f t="shared" si="5"/>
        <v/>
      </c>
    </row>
    <row r="48" spans="2:8" s="24" customFormat="1" x14ac:dyDescent="0.2">
      <c r="B48" s="60"/>
      <c r="C48" s="135"/>
      <c r="D48" s="1"/>
      <c r="E48" s="137"/>
      <c r="F48" s="139"/>
      <c r="H48" s="24" t="str">
        <f t="shared" si="5"/>
        <v/>
      </c>
    </row>
    <row r="49" spans="2:8" s="24" customFormat="1" x14ac:dyDescent="0.2">
      <c r="B49" s="60"/>
      <c r="C49" s="135"/>
      <c r="D49" s="1"/>
      <c r="E49" s="137"/>
      <c r="F49" s="150"/>
      <c r="H49" s="24" t="str">
        <f t="shared" si="5"/>
        <v/>
      </c>
    </row>
    <row r="50" spans="2:8" s="24" customFormat="1" x14ac:dyDescent="0.2">
      <c r="B50" s="60"/>
      <c r="C50" s="135"/>
      <c r="D50" s="1"/>
      <c r="E50" s="137"/>
      <c r="F50" s="139"/>
      <c r="H50" s="24" t="str">
        <f t="shared" si="5"/>
        <v/>
      </c>
    </row>
    <row r="51" spans="2:8" s="24" customFormat="1" x14ac:dyDescent="0.2">
      <c r="B51" s="61"/>
      <c r="C51" s="135"/>
      <c r="D51" s="1"/>
      <c r="E51" s="137"/>
      <c r="F51" s="139"/>
      <c r="H51" s="24" t="str">
        <f t="shared" si="5"/>
        <v/>
      </c>
    </row>
    <row r="52" spans="2:8" s="24" customFormat="1" x14ac:dyDescent="0.2">
      <c r="B52" s="60"/>
      <c r="C52" s="135"/>
      <c r="D52" s="1"/>
      <c r="E52" s="137"/>
      <c r="F52" s="139"/>
      <c r="H52" s="24" t="str">
        <f t="shared" si="5"/>
        <v/>
      </c>
    </row>
    <row r="53" spans="2:8" s="24" customFormat="1" x14ac:dyDescent="0.2">
      <c r="B53" s="60"/>
      <c r="C53" s="135"/>
      <c r="D53" s="1"/>
      <c r="E53" s="137"/>
      <c r="F53" s="139"/>
      <c r="H53" s="24" t="str">
        <f t="shared" si="5"/>
        <v/>
      </c>
    </row>
    <row r="54" spans="2:8" s="24" customFormat="1" x14ac:dyDescent="0.2">
      <c r="B54" s="60"/>
      <c r="C54" s="135"/>
      <c r="D54" s="1"/>
      <c r="E54" s="137"/>
      <c r="F54" s="150"/>
      <c r="H54" s="24" t="str">
        <f t="shared" si="5"/>
        <v/>
      </c>
    </row>
    <row r="55" spans="2:8" s="24" customFormat="1" x14ac:dyDescent="0.2">
      <c r="B55" s="61"/>
      <c r="C55" s="135"/>
      <c r="D55" s="1"/>
      <c r="E55" s="137"/>
      <c r="F55" s="150"/>
      <c r="H55" s="24" t="str">
        <f t="shared" si="5"/>
        <v/>
      </c>
    </row>
    <row r="56" spans="2:8" s="24" customFormat="1" x14ac:dyDescent="0.2">
      <c r="B56" s="61"/>
      <c r="C56" s="135"/>
      <c r="D56" s="1"/>
      <c r="E56" s="137"/>
      <c r="F56" s="150"/>
      <c r="H56" s="24" t="str">
        <f t="shared" si="5"/>
        <v/>
      </c>
    </row>
    <row r="57" spans="2:8" s="24" customFormat="1" x14ac:dyDescent="0.2">
      <c r="B57" s="61"/>
      <c r="C57" s="135"/>
      <c r="D57" s="1"/>
      <c r="E57" s="137"/>
      <c r="F57" s="150"/>
      <c r="H57" s="24" t="str">
        <f t="shared" si="5"/>
        <v/>
      </c>
    </row>
    <row r="58" spans="2:8" s="24" customFormat="1" x14ac:dyDescent="0.2">
      <c r="B58" s="60"/>
      <c r="C58" s="135"/>
      <c r="D58" s="1"/>
      <c r="E58" s="137"/>
      <c r="F58" s="150"/>
      <c r="H58" s="24" t="str">
        <f t="shared" si="5"/>
        <v/>
      </c>
    </row>
    <row r="59" spans="2:8" s="24" customFormat="1" x14ac:dyDescent="0.2">
      <c r="B59" s="60"/>
      <c r="C59" s="135"/>
      <c r="D59" s="1"/>
      <c r="E59" s="137"/>
      <c r="F59" s="149"/>
      <c r="H59" s="24" t="str">
        <f t="shared" si="5"/>
        <v/>
      </c>
    </row>
    <row r="60" spans="2:8" s="24" customFormat="1" x14ac:dyDescent="0.2">
      <c r="B60" s="60"/>
      <c r="C60" s="135"/>
      <c r="D60" s="1"/>
      <c r="E60" s="137"/>
      <c r="F60" s="139"/>
      <c r="H60" s="24" t="str">
        <f t="shared" si="5"/>
        <v/>
      </c>
    </row>
    <row r="61" spans="2:8" s="24" customFormat="1" x14ac:dyDescent="0.2">
      <c r="B61" s="60"/>
      <c r="C61" s="135"/>
      <c r="D61" s="1"/>
      <c r="E61" s="137"/>
      <c r="F61" s="150"/>
      <c r="H61" s="24" t="str">
        <f t="shared" si="5"/>
        <v/>
      </c>
    </row>
    <row r="62" spans="2:8" s="24" customFormat="1" x14ac:dyDescent="0.2">
      <c r="B62" s="60"/>
      <c r="C62" s="135"/>
      <c r="D62" s="1"/>
      <c r="E62" s="151"/>
      <c r="F62" s="150"/>
      <c r="H62" s="24" t="str">
        <f t="shared" si="5"/>
        <v/>
      </c>
    </row>
    <row r="63" spans="2:8" s="24" customFormat="1" x14ac:dyDescent="0.2">
      <c r="B63" s="60"/>
      <c r="C63" s="135"/>
      <c r="D63" s="1"/>
      <c r="E63" s="151"/>
      <c r="F63" s="150"/>
      <c r="H63" s="24" t="str">
        <f t="shared" si="5"/>
        <v/>
      </c>
    </row>
    <row r="64" spans="2:8" s="24" customFormat="1" x14ac:dyDescent="0.2">
      <c r="B64" s="60"/>
      <c r="C64" s="135"/>
      <c r="D64" s="1"/>
      <c r="E64" s="137"/>
      <c r="F64" s="150"/>
      <c r="H64" s="24" t="str">
        <f t="shared" si="5"/>
        <v/>
      </c>
    </row>
    <row r="65" spans="2:8" s="24" customFormat="1" x14ac:dyDescent="0.2">
      <c r="B65" s="60"/>
      <c r="C65" s="135"/>
      <c r="D65" s="1"/>
      <c r="E65" s="151"/>
      <c r="F65" s="150"/>
      <c r="H65" s="24" t="str">
        <f t="shared" si="5"/>
        <v/>
      </c>
    </row>
    <row r="66" spans="2:8" s="24" customFormat="1" x14ac:dyDescent="0.2">
      <c r="B66" s="60"/>
      <c r="C66" s="135"/>
      <c r="D66" s="1"/>
      <c r="E66" s="151"/>
      <c r="F66" s="150"/>
      <c r="H66" s="24" t="str">
        <f t="shared" si="5"/>
        <v/>
      </c>
    </row>
    <row r="67" spans="2:8" s="24" customFormat="1" x14ac:dyDescent="0.2">
      <c r="B67" s="60"/>
      <c r="C67" s="135"/>
      <c r="D67" s="1"/>
      <c r="E67" s="151"/>
      <c r="F67" s="150"/>
      <c r="H67" s="24" t="str">
        <f t="shared" si="5"/>
        <v/>
      </c>
    </row>
    <row r="68" spans="2:8" s="24" customFormat="1" x14ac:dyDescent="0.2">
      <c r="B68" s="60"/>
      <c r="C68" s="135"/>
      <c r="D68" s="1"/>
      <c r="E68" s="137"/>
      <c r="F68" s="139"/>
      <c r="H68" s="24" t="str">
        <f t="shared" si="5"/>
        <v/>
      </c>
    </row>
    <row r="69" spans="2:8" s="24" customFormat="1" x14ac:dyDescent="0.2">
      <c r="B69" s="60"/>
      <c r="C69" s="135"/>
      <c r="D69" s="1"/>
      <c r="E69" s="137"/>
      <c r="F69" s="139"/>
      <c r="H69" s="24" t="str">
        <f t="shared" si="5"/>
        <v/>
      </c>
    </row>
    <row r="70" spans="2:8" s="24" customFormat="1" x14ac:dyDescent="0.2">
      <c r="B70" s="60"/>
      <c r="C70" s="135"/>
      <c r="D70" s="1"/>
      <c r="E70" s="137"/>
      <c r="F70" s="139"/>
      <c r="H70" s="24" t="str">
        <f t="shared" si="5"/>
        <v/>
      </c>
    </row>
    <row r="71" spans="2:8" s="24" customFormat="1" x14ac:dyDescent="0.2">
      <c r="B71" s="60"/>
      <c r="C71" s="135"/>
      <c r="D71" s="1"/>
      <c r="E71" s="137"/>
      <c r="F71" s="139"/>
      <c r="H71" s="24" t="str">
        <f t="shared" si="5"/>
        <v/>
      </c>
    </row>
    <row r="72" spans="2:8" s="24" customFormat="1" x14ac:dyDescent="0.2">
      <c r="B72" s="60"/>
      <c r="C72" s="135"/>
      <c r="D72" s="1"/>
      <c r="E72" s="137"/>
      <c r="F72" s="149"/>
      <c r="H72" s="24" t="str">
        <f t="shared" si="5"/>
        <v/>
      </c>
    </row>
    <row r="73" spans="2:8" s="24" customFormat="1" x14ac:dyDescent="0.2">
      <c r="B73" s="60"/>
      <c r="C73" s="135"/>
      <c r="D73" s="1"/>
      <c r="E73" s="137"/>
      <c r="F73" s="150"/>
      <c r="H73" s="24" t="str">
        <f t="shared" si="5"/>
        <v/>
      </c>
    </row>
    <row r="74" spans="2:8" s="24" customFormat="1" x14ac:dyDescent="0.2">
      <c r="B74" s="60"/>
      <c r="C74" s="135"/>
      <c r="D74" s="1"/>
      <c r="E74" s="137"/>
      <c r="F74" s="139"/>
      <c r="H74" s="24" t="str">
        <f t="shared" si="5"/>
        <v/>
      </c>
    </row>
    <row r="75" spans="2:8" s="24" customFormat="1" x14ac:dyDescent="0.2">
      <c r="B75" s="60"/>
      <c r="C75" s="135"/>
      <c r="D75" s="1"/>
      <c r="E75" s="137"/>
      <c r="F75" s="139"/>
      <c r="H75" s="24" t="str">
        <f t="shared" si="5"/>
        <v/>
      </c>
    </row>
    <row r="76" spans="2:8" s="24" customFormat="1" x14ac:dyDescent="0.2">
      <c r="B76" s="60"/>
      <c r="C76" s="135"/>
      <c r="D76" s="1"/>
      <c r="E76" s="137"/>
      <c r="F76" s="150"/>
      <c r="H76" s="24" t="str">
        <f t="shared" si="5"/>
        <v/>
      </c>
    </row>
    <row r="77" spans="2:8" s="24" customFormat="1" x14ac:dyDescent="0.2">
      <c r="B77" s="60"/>
      <c r="C77" s="135"/>
      <c r="D77" s="1"/>
      <c r="E77" s="137"/>
      <c r="F77" s="150"/>
      <c r="H77" s="24" t="str">
        <f t="shared" si="5"/>
        <v/>
      </c>
    </row>
    <row r="78" spans="2:8" s="24" customFormat="1" x14ac:dyDescent="0.2">
      <c r="B78" s="60"/>
      <c r="C78" s="135"/>
      <c r="D78" s="1"/>
      <c r="E78" s="137"/>
      <c r="F78" s="150"/>
      <c r="H78" s="24" t="str">
        <f t="shared" si="5"/>
        <v/>
      </c>
    </row>
    <row r="79" spans="2:8" s="24" customFormat="1" x14ac:dyDescent="0.2">
      <c r="B79" s="60"/>
      <c r="C79" s="135"/>
      <c r="D79" s="1"/>
      <c r="E79" s="137"/>
      <c r="F79" s="139"/>
      <c r="H79" s="24" t="str">
        <f t="shared" si="5"/>
        <v/>
      </c>
    </row>
    <row r="80" spans="2:8" s="24" customFormat="1" x14ac:dyDescent="0.2">
      <c r="B80" s="60"/>
      <c r="C80" s="135"/>
      <c r="D80" s="1"/>
      <c r="E80" s="137"/>
      <c r="F80" s="150"/>
      <c r="H80" s="24" t="str">
        <f t="shared" si="5"/>
        <v/>
      </c>
    </row>
    <row r="81" spans="2:8" s="24" customFormat="1" x14ac:dyDescent="0.2">
      <c r="B81" s="61"/>
      <c r="C81" s="135"/>
      <c r="D81" s="1"/>
      <c r="E81" s="137"/>
      <c r="F81" s="150"/>
      <c r="H81" s="24" t="str">
        <f t="shared" si="5"/>
        <v/>
      </c>
    </row>
    <row r="82" spans="2:8" s="24" customFormat="1" x14ac:dyDescent="0.2">
      <c r="B82" s="61"/>
      <c r="C82" s="135"/>
      <c r="D82" s="1"/>
      <c r="E82" s="137"/>
      <c r="F82" s="150"/>
      <c r="H82" s="24" t="str">
        <f t="shared" si="5"/>
        <v/>
      </c>
    </row>
    <row r="83" spans="2:8" s="24" customFormat="1" x14ac:dyDescent="0.2">
      <c r="B83" s="60"/>
      <c r="C83" s="135"/>
      <c r="D83" s="1"/>
      <c r="E83" s="137"/>
      <c r="F83" s="150"/>
      <c r="H83" s="24" t="str">
        <f t="shared" si="5"/>
        <v/>
      </c>
    </row>
    <row r="84" spans="2:8" s="24" customFormat="1" x14ac:dyDescent="0.2">
      <c r="B84" s="60"/>
      <c r="C84" s="135"/>
      <c r="D84" s="1"/>
      <c r="E84" s="137"/>
      <c r="F84" s="149"/>
      <c r="H84" s="24" t="str">
        <f>IF(B84&lt;&gt;"",MONTH(B84),"")</f>
        <v/>
      </c>
    </row>
    <row r="85" spans="2:8" s="24" customFormat="1" x14ac:dyDescent="0.2">
      <c r="B85" s="60"/>
      <c r="C85" s="135"/>
      <c r="D85" s="1"/>
      <c r="E85" s="137"/>
      <c r="F85" s="149"/>
      <c r="H85" s="24" t="str">
        <f>IF(B85&lt;&gt;"",MONTH(B85),"")</f>
        <v/>
      </c>
    </row>
    <row r="86" spans="2:8" s="24" customFormat="1" x14ac:dyDescent="0.2">
      <c r="B86" s="60"/>
      <c r="C86" s="135"/>
      <c r="D86" s="1"/>
      <c r="E86" s="137"/>
      <c r="F86" s="149"/>
    </row>
    <row r="87" spans="2:8" s="24" customFormat="1" x14ac:dyDescent="0.2">
      <c r="B87" s="60"/>
      <c r="C87" s="135"/>
      <c r="D87" s="1"/>
      <c r="E87" s="137"/>
      <c r="F87" s="139"/>
    </row>
    <row r="88" spans="2:8" s="24" customFormat="1" x14ac:dyDescent="0.2">
      <c r="B88" s="60"/>
      <c r="C88" s="135"/>
      <c r="D88" s="1"/>
      <c r="E88" s="137"/>
      <c r="F88" s="139"/>
    </row>
    <row r="89" spans="2:8" s="24" customFormat="1" x14ac:dyDescent="0.2">
      <c r="B89" s="60"/>
      <c r="C89" s="135"/>
      <c r="D89" s="1"/>
      <c r="E89" s="137"/>
      <c r="F89" s="139"/>
    </row>
    <row r="90" spans="2:8" s="24" customFormat="1" x14ac:dyDescent="0.2">
      <c r="B90" s="60"/>
      <c r="C90" s="135"/>
      <c r="D90" s="1"/>
      <c r="E90" s="137"/>
      <c r="F90" s="139"/>
    </row>
    <row r="91" spans="2:8" s="24" customFormat="1" x14ac:dyDescent="0.2">
      <c r="B91" s="60"/>
      <c r="C91" s="135"/>
      <c r="D91" s="1"/>
      <c r="E91" s="137"/>
      <c r="F91" s="150"/>
    </row>
    <row r="92" spans="2:8" s="24" customFormat="1" x14ac:dyDescent="0.2">
      <c r="B92" s="60"/>
      <c r="C92" s="135"/>
      <c r="D92" s="1"/>
      <c r="E92" s="137"/>
      <c r="F92" s="139"/>
    </row>
    <row r="93" spans="2:8" s="24" customFormat="1" x14ac:dyDescent="0.2">
      <c r="B93" s="60"/>
      <c r="C93" s="135"/>
      <c r="D93" s="1"/>
      <c r="E93" s="137"/>
      <c r="F93" s="139"/>
    </row>
    <row r="94" spans="2:8" s="24" customFormat="1" x14ac:dyDescent="0.2">
      <c r="B94" s="60"/>
      <c r="C94" s="135"/>
      <c r="D94" s="1"/>
      <c r="E94" s="137"/>
      <c r="F94" s="150"/>
    </row>
    <row r="95" spans="2:8" s="24" customFormat="1" x14ac:dyDescent="0.2">
      <c r="B95" s="60"/>
      <c r="C95" s="135"/>
      <c r="D95" s="1"/>
      <c r="E95" s="137"/>
      <c r="F95" s="139"/>
    </row>
    <row r="96" spans="2:8" s="24" customFormat="1" x14ac:dyDescent="0.2">
      <c r="B96" s="60"/>
      <c r="C96" s="135"/>
      <c r="D96" s="1"/>
      <c r="E96" s="137"/>
      <c r="F96" s="150"/>
    </row>
    <row r="97" spans="2:6" s="24" customFormat="1" x14ac:dyDescent="0.2">
      <c r="B97" s="60"/>
      <c r="C97" s="135"/>
      <c r="D97" s="1"/>
      <c r="E97" s="137"/>
      <c r="F97" s="150"/>
    </row>
    <row r="98" spans="2:6" s="24" customFormat="1" x14ac:dyDescent="0.2">
      <c r="B98" s="61"/>
      <c r="C98" s="135"/>
      <c r="D98" s="1"/>
      <c r="E98" s="137"/>
      <c r="F98" s="150"/>
    </row>
    <row r="99" spans="2:6" s="24" customFormat="1" x14ac:dyDescent="0.2">
      <c r="B99" s="61"/>
      <c r="C99" s="135"/>
      <c r="D99" s="1"/>
      <c r="E99" s="137"/>
      <c r="F99" s="150"/>
    </row>
    <row r="100" spans="2:6" s="24" customFormat="1" x14ac:dyDescent="0.2">
      <c r="B100" s="60"/>
      <c r="C100" s="135"/>
      <c r="D100" s="1"/>
      <c r="E100" s="137"/>
      <c r="F100" s="150"/>
    </row>
    <row r="101" spans="2:6" s="24" customFormat="1" x14ac:dyDescent="0.2">
      <c r="B101" s="60"/>
      <c r="C101" s="135"/>
      <c r="D101" s="1"/>
      <c r="E101" s="151"/>
      <c r="F101" s="150"/>
    </row>
    <row r="102" spans="2:6" s="24" customFormat="1" x14ac:dyDescent="0.2">
      <c r="B102" s="60"/>
      <c r="C102" s="135"/>
      <c r="D102" s="1"/>
      <c r="E102" s="151"/>
      <c r="F102" s="150"/>
    </row>
    <row r="103" spans="2:6" s="24" customFormat="1" x14ac:dyDescent="0.2">
      <c r="B103" s="60"/>
      <c r="C103" s="135"/>
      <c r="D103" s="1"/>
      <c r="E103" s="137"/>
      <c r="F103" s="150"/>
    </row>
    <row r="104" spans="2:6" s="24" customFormat="1" x14ac:dyDescent="0.2">
      <c r="B104" s="60"/>
      <c r="C104" s="135"/>
      <c r="D104" s="1"/>
      <c r="E104" s="137"/>
      <c r="F104" s="149"/>
    </row>
    <row r="105" spans="2:6" s="24" customFormat="1" x14ac:dyDescent="0.2">
      <c r="B105" s="60"/>
      <c r="C105" s="135"/>
      <c r="D105" s="1"/>
      <c r="E105" s="137"/>
      <c r="F105" s="150"/>
    </row>
    <row r="106" spans="2:6" s="24" customFormat="1" x14ac:dyDescent="0.2">
      <c r="B106" s="60"/>
      <c r="C106" s="135"/>
      <c r="D106" s="1"/>
      <c r="E106" s="137"/>
      <c r="F106" s="139"/>
    </row>
    <row r="107" spans="2:6" s="24" customFormat="1" x14ac:dyDescent="0.2">
      <c r="B107" s="60"/>
      <c r="C107" s="135"/>
      <c r="D107" s="1"/>
      <c r="E107" s="151"/>
      <c r="F107" s="150"/>
    </row>
    <row r="108" spans="2:6" s="24" customFormat="1" x14ac:dyDescent="0.2">
      <c r="B108" s="60"/>
      <c r="C108" s="135"/>
      <c r="D108" s="1"/>
      <c r="E108" s="151"/>
      <c r="F108" s="150"/>
    </row>
    <row r="109" spans="2:6" s="24" customFormat="1" x14ac:dyDescent="0.2">
      <c r="B109" s="60"/>
      <c r="C109" s="135"/>
      <c r="D109" s="1"/>
      <c r="E109" s="151"/>
      <c r="F109" s="150"/>
    </row>
    <row r="110" spans="2:6" s="24" customFormat="1" x14ac:dyDescent="0.2">
      <c r="B110" s="60"/>
      <c r="C110" s="135"/>
      <c r="D110" s="1"/>
      <c r="E110" s="137"/>
      <c r="F110" s="150"/>
    </row>
    <row r="111" spans="2:6" s="24" customFormat="1" x14ac:dyDescent="0.2">
      <c r="B111" s="60"/>
      <c r="C111" s="135"/>
      <c r="D111" s="1"/>
      <c r="E111" s="137"/>
      <c r="F111" s="139"/>
    </row>
    <row r="112" spans="2:6" s="24" customFormat="1" x14ac:dyDescent="0.2">
      <c r="B112" s="60"/>
      <c r="C112" s="135"/>
      <c r="D112" s="1"/>
      <c r="E112" s="137"/>
      <c r="F112" s="139"/>
    </row>
    <row r="113" spans="2:6" s="24" customFormat="1" x14ac:dyDescent="0.2">
      <c r="B113" s="60"/>
      <c r="C113" s="135"/>
      <c r="D113" s="1"/>
      <c r="E113" s="137"/>
      <c r="F113" s="139"/>
    </row>
    <row r="114" spans="2:6" s="24" customFormat="1" x14ac:dyDescent="0.2">
      <c r="B114" s="60"/>
      <c r="C114" s="135"/>
      <c r="D114" s="1"/>
      <c r="E114" s="137"/>
      <c r="F114" s="139"/>
    </row>
    <row r="115" spans="2:6" s="24" customFormat="1" x14ac:dyDescent="0.2">
      <c r="B115" s="60"/>
      <c r="C115" s="135"/>
      <c r="D115" s="1"/>
      <c r="E115" s="137"/>
      <c r="F115" s="139"/>
    </row>
    <row r="116" spans="2:6" s="24" customFormat="1" x14ac:dyDescent="0.2">
      <c r="B116" s="60"/>
      <c r="C116" s="135"/>
      <c r="D116" s="1"/>
      <c r="E116" s="137"/>
      <c r="F116" s="150"/>
    </row>
    <row r="117" spans="2:6" s="24" customFormat="1" x14ac:dyDescent="0.2">
      <c r="B117" s="60"/>
      <c r="C117" s="135"/>
      <c r="D117" s="1"/>
      <c r="E117" s="137"/>
      <c r="F117" s="150"/>
    </row>
    <row r="118" spans="2:6" s="24" customFormat="1" x14ac:dyDescent="0.2">
      <c r="B118" s="60"/>
      <c r="C118" s="135"/>
      <c r="D118" s="1"/>
      <c r="E118" s="137"/>
      <c r="F118" s="139"/>
    </row>
    <row r="119" spans="2:6" s="24" customFormat="1" x14ac:dyDescent="0.2">
      <c r="B119" s="60"/>
      <c r="C119" s="135"/>
      <c r="D119" s="1"/>
      <c r="E119" s="137"/>
      <c r="F119" s="139"/>
    </row>
    <row r="120" spans="2:6" s="24" customFormat="1" x14ac:dyDescent="0.2">
      <c r="B120" s="61"/>
      <c r="C120" s="135"/>
      <c r="D120" s="1"/>
      <c r="E120" s="137"/>
      <c r="F120" s="150"/>
    </row>
    <row r="121" spans="2:6" s="24" customFormat="1" x14ac:dyDescent="0.2">
      <c r="B121" s="61"/>
      <c r="C121" s="135"/>
      <c r="D121" s="1"/>
      <c r="E121" s="137"/>
      <c r="F121" s="150"/>
    </row>
    <row r="122" spans="2:6" s="24" customFormat="1" x14ac:dyDescent="0.2">
      <c r="B122" s="60"/>
      <c r="C122" s="135"/>
      <c r="D122" s="1"/>
      <c r="E122" s="137"/>
      <c r="F122" s="139"/>
    </row>
    <row r="123" spans="2:6" s="24" customFormat="1" x14ac:dyDescent="0.2">
      <c r="B123" s="60"/>
      <c r="C123" s="135"/>
      <c r="D123" s="1"/>
      <c r="E123" s="151"/>
      <c r="F123" s="150"/>
    </row>
    <row r="124" spans="2:6" s="24" customFormat="1" x14ac:dyDescent="0.2">
      <c r="B124" s="60"/>
      <c r="C124" s="135"/>
      <c r="D124" s="1"/>
      <c r="E124" s="151"/>
      <c r="F124" s="150"/>
    </row>
    <row r="125" spans="2:6" s="24" customFormat="1" x14ac:dyDescent="0.2">
      <c r="B125" s="60"/>
      <c r="C125" s="135"/>
      <c r="D125" s="1"/>
      <c r="E125" s="151"/>
      <c r="F125" s="150"/>
    </row>
    <row r="126" spans="2:6" s="24" customFormat="1" x14ac:dyDescent="0.2">
      <c r="B126" s="60"/>
      <c r="C126" s="135"/>
      <c r="D126" s="1"/>
      <c r="E126" s="151"/>
      <c r="F126" s="150"/>
    </row>
    <row r="127" spans="2:6" s="24" customFormat="1" x14ac:dyDescent="0.2">
      <c r="B127" s="60"/>
      <c r="C127" s="135"/>
      <c r="D127" s="1"/>
      <c r="E127" s="151"/>
      <c r="F127" s="150"/>
    </row>
    <row r="128" spans="2:6" s="24" customFormat="1" x14ac:dyDescent="0.2">
      <c r="B128" s="60"/>
      <c r="C128" s="135"/>
      <c r="D128" s="1"/>
      <c r="E128" s="137"/>
      <c r="F128" s="150"/>
    </row>
    <row r="129" spans="2:6" s="24" customFormat="1" x14ac:dyDescent="0.2">
      <c r="B129" s="61"/>
      <c r="C129" s="152"/>
      <c r="D129" s="1"/>
      <c r="E129" s="153"/>
      <c r="F129" s="154"/>
    </row>
    <row r="130" spans="2:6" s="24" customFormat="1" x14ac:dyDescent="0.2">
      <c r="B130" s="61"/>
      <c r="C130" s="152"/>
      <c r="D130" s="1"/>
      <c r="E130" s="153"/>
      <c r="F130" s="154"/>
    </row>
    <row r="131" spans="2:6" s="24" customFormat="1" x14ac:dyDescent="0.2">
      <c r="B131" s="61"/>
      <c r="C131" s="152"/>
      <c r="D131" s="1"/>
      <c r="E131" s="153"/>
      <c r="F131" s="154"/>
    </row>
    <row r="132" spans="2:6" s="24" customFormat="1" x14ac:dyDescent="0.2">
      <c r="B132" s="61"/>
      <c r="C132" s="152"/>
      <c r="D132" s="1"/>
      <c r="E132" s="153"/>
      <c r="F132" s="154"/>
    </row>
    <row r="133" spans="2:6" s="24" customFormat="1" x14ac:dyDescent="0.2">
      <c r="B133" s="61"/>
      <c r="C133" s="152"/>
      <c r="D133" s="1"/>
      <c r="E133" s="153"/>
      <c r="F133" s="154"/>
    </row>
    <row r="134" spans="2:6" s="24" customFormat="1" x14ac:dyDescent="0.2">
      <c r="B134" s="61"/>
      <c r="C134" s="152"/>
      <c r="D134" s="1"/>
      <c r="E134" s="153"/>
      <c r="F134" s="154"/>
    </row>
    <row r="135" spans="2:6" s="24" customFormat="1" x14ac:dyDescent="0.2">
      <c r="B135" s="61"/>
      <c r="C135" s="62"/>
      <c r="D135" s="62"/>
      <c r="E135" s="63"/>
      <c r="F135" s="64"/>
    </row>
    <row r="136" spans="2:6" s="24" customFormat="1" x14ac:dyDescent="0.2">
      <c r="B136" s="61"/>
      <c r="C136" s="62"/>
      <c r="D136" s="62"/>
      <c r="E136" s="63"/>
      <c r="F136" s="64"/>
    </row>
    <row r="137" spans="2:6" s="24" customFormat="1" x14ac:dyDescent="0.2">
      <c r="B137" s="61"/>
      <c r="C137" s="62"/>
      <c r="D137" s="62"/>
      <c r="E137" s="63"/>
      <c r="F137" s="64"/>
    </row>
    <row r="138" spans="2:6" s="24" customFormat="1" x14ac:dyDescent="0.2">
      <c r="B138" s="61"/>
      <c r="C138" s="62"/>
      <c r="D138" s="62"/>
      <c r="E138" s="63"/>
      <c r="F138" s="64"/>
    </row>
    <row r="139" spans="2:6" s="24" customFormat="1" x14ac:dyDescent="0.2">
      <c r="B139" s="61"/>
      <c r="C139" s="62"/>
      <c r="D139" s="62"/>
      <c r="E139" s="63"/>
      <c r="F139" s="64"/>
    </row>
    <row r="140" spans="2:6" s="24" customFormat="1" x14ac:dyDescent="0.2">
      <c r="B140" s="61"/>
      <c r="C140" s="62"/>
      <c r="D140" s="62"/>
      <c r="E140" s="63"/>
      <c r="F140" s="64"/>
    </row>
    <row r="141" spans="2:6" s="24" customFormat="1" x14ac:dyDescent="0.2">
      <c r="B141" s="61"/>
      <c r="C141" s="62"/>
      <c r="D141" s="62"/>
      <c r="E141" s="63"/>
      <c r="F141" s="64"/>
    </row>
    <row r="142" spans="2:6" s="24" customFormat="1" x14ac:dyDescent="0.2">
      <c r="B142" s="61"/>
      <c r="C142" s="62"/>
      <c r="D142" s="62"/>
      <c r="E142" s="63"/>
      <c r="F142" s="64"/>
    </row>
    <row r="143" spans="2:6" s="24" customFormat="1" x14ac:dyDescent="0.2">
      <c r="B143" s="61"/>
      <c r="C143" s="62"/>
      <c r="D143" s="62"/>
      <c r="E143" s="63"/>
      <c r="F143" s="64"/>
    </row>
    <row r="144" spans="2:6" s="24" customFormat="1" x14ac:dyDescent="0.2">
      <c r="B144" s="61"/>
      <c r="C144" s="62"/>
      <c r="D144" s="62"/>
      <c r="E144" s="63"/>
      <c r="F144" s="64"/>
    </row>
    <row r="145" spans="2:8" s="24" customFormat="1" x14ac:dyDescent="0.2">
      <c r="B145" s="61"/>
      <c r="C145" s="62"/>
      <c r="D145" s="62"/>
      <c r="E145" s="63"/>
      <c r="F145" s="64"/>
    </row>
    <row r="146" spans="2:8" s="24" customFormat="1" x14ac:dyDescent="0.2">
      <c r="B146" s="61"/>
      <c r="C146" s="62"/>
      <c r="D146" s="62"/>
      <c r="E146" s="63"/>
      <c r="F146" s="64"/>
    </row>
    <row r="147" spans="2:8" s="24" customFormat="1" x14ac:dyDescent="0.2">
      <c r="B147" s="61"/>
      <c r="C147" s="62"/>
      <c r="D147" s="62"/>
      <c r="E147" s="63"/>
      <c r="F147" s="64"/>
    </row>
    <row r="148" spans="2:8" s="24" customFormat="1" x14ac:dyDescent="0.2">
      <c r="B148" s="61"/>
      <c r="C148" s="62"/>
      <c r="D148" s="62"/>
      <c r="E148" s="63"/>
      <c r="F148" s="64"/>
    </row>
    <row r="149" spans="2:8" s="24" customFormat="1" x14ac:dyDescent="0.2">
      <c r="B149" s="61"/>
      <c r="C149" s="62"/>
      <c r="D149" s="62"/>
      <c r="E149" s="63"/>
      <c r="F149" s="64"/>
    </row>
    <row r="150" spans="2:8" s="24" customFormat="1" x14ac:dyDescent="0.2">
      <c r="B150" s="61"/>
      <c r="C150" s="62"/>
      <c r="D150" s="62"/>
      <c r="E150" s="63"/>
      <c r="F150" s="64"/>
    </row>
    <row r="151" spans="2:8" s="24" customFormat="1" x14ac:dyDescent="0.2">
      <c r="B151" s="61"/>
      <c r="C151" s="62"/>
      <c r="D151" s="62"/>
      <c r="E151" s="63"/>
      <c r="F151" s="64"/>
    </row>
    <row r="152" spans="2:8" s="24" customFormat="1" x14ac:dyDescent="0.2">
      <c r="B152" s="61"/>
      <c r="C152" s="62"/>
      <c r="D152" s="62"/>
      <c r="E152" s="63"/>
      <c r="F152" s="64"/>
    </row>
    <row r="153" spans="2:8" s="24" customFormat="1" x14ac:dyDescent="0.2">
      <c r="B153" s="61"/>
      <c r="C153" s="62"/>
      <c r="D153" s="62"/>
      <c r="E153" s="63"/>
      <c r="F153" s="64"/>
    </row>
    <row r="154" spans="2:8" s="24" customFormat="1" x14ac:dyDescent="0.2">
      <c r="B154" s="61"/>
      <c r="C154" s="62"/>
      <c r="D154" s="62"/>
      <c r="E154" s="63"/>
      <c r="F154" s="64"/>
    </row>
    <row r="155" spans="2:8" s="24" customFormat="1" x14ac:dyDescent="0.2">
      <c r="B155" s="61"/>
      <c r="C155" s="62"/>
      <c r="D155" s="62"/>
      <c r="E155" s="63"/>
      <c r="F155" s="64"/>
    </row>
    <row r="156" spans="2:8" s="24" customFormat="1" x14ac:dyDescent="0.2">
      <c r="B156" s="61"/>
      <c r="C156" s="62"/>
      <c r="D156" s="62"/>
      <c r="E156" s="63"/>
      <c r="F156" s="64"/>
    </row>
    <row r="157" spans="2:8" s="24" customFormat="1" x14ac:dyDescent="0.2">
      <c r="B157" s="61"/>
      <c r="C157" s="62"/>
      <c r="D157" s="62"/>
      <c r="E157" s="63"/>
      <c r="F157" s="64"/>
    </row>
    <row r="158" spans="2:8" s="24" customFormat="1" x14ac:dyDescent="0.2">
      <c r="B158" s="61"/>
      <c r="C158" s="62"/>
      <c r="D158" s="62"/>
      <c r="E158" s="63"/>
      <c r="F158" s="64"/>
    </row>
    <row r="159" spans="2:8" s="24" customFormat="1" x14ac:dyDescent="0.2">
      <c r="B159" s="61"/>
      <c r="C159" s="62"/>
      <c r="D159" s="62"/>
      <c r="E159" s="63"/>
      <c r="F159" s="64"/>
    </row>
    <row r="160" spans="2:8" s="24" customFormat="1" ht="13.5" thickBot="1" x14ac:dyDescent="0.25">
      <c r="B160" s="65"/>
      <c r="C160" s="2"/>
      <c r="D160" s="2"/>
      <c r="E160" s="66"/>
      <c r="F160" s="67"/>
      <c r="H160" s="24" t="str">
        <f>IF(B160&lt;&gt;"",MONTH(B160),"")</f>
        <v/>
      </c>
    </row>
    <row r="161" spans="2:6" ht="13.5" thickBot="1" x14ac:dyDescent="0.25">
      <c r="B161" s="56"/>
      <c r="C161" s="57"/>
      <c r="D161" s="57"/>
      <c r="E161" s="58"/>
      <c r="F161" s="59"/>
    </row>
  </sheetData>
  <sheetProtection formatCells="0" formatColumns="0" formatRows="0" insertRows="0" deleteRows="0" autoFilter="0"/>
  <autoFilter ref="B5:F5" xr:uid="{00000000-0009-0000-0000-000002000000}"/>
  <mergeCells count="1">
    <mergeCell ref="B2:F2"/>
  </mergeCells>
  <phoneticPr fontId="2" type="noConversion"/>
  <pageMargins left="0.78740157499999996" right="0.78740157499999996" top="0.984251969" bottom="0.984251969" header="0.49212598499999999" footer="0.49212598499999999"/>
  <pageSetup paperSize="9" scale="43" orientation="portrait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EF19F-0AF4-4057-BB37-CDF5EA5425B1}">
  <sheetPr codeName="Planilha2"/>
  <dimension ref="A1:N4"/>
  <sheetViews>
    <sheetView zoomScale="150" zoomScaleNormal="150" zoomScaleSheetLayoutView="70" workbookViewId="0">
      <pane xSplit="1" ySplit="1" topLeftCell="B2" activePane="bottomRight" state="frozen"/>
      <selection pane="topRight" activeCell="B1" sqref="B1"/>
      <selection pane="bottomLeft" activeCell="A6" sqref="A6"/>
      <selection pane="bottomRight" activeCell="B6" sqref="B6"/>
    </sheetView>
  </sheetViews>
  <sheetFormatPr defaultColWidth="11.42578125" defaultRowHeight="12.75" x14ac:dyDescent="0.2"/>
  <cols>
    <col min="1" max="1" width="13.42578125" style="206" customWidth="1"/>
    <col min="2" max="2" width="17.42578125" style="207" customWidth="1"/>
    <col min="3" max="3" width="9.7109375" style="208" customWidth="1"/>
    <col min="4" max="4" width="6.5703125" style="205" hidden="1" customWidth="1"/>
    <col min="5" max="5" width="26.42578125" style="207" customWidth="1"/>
    <col min="6" max="6" width="8.42578125" style="208" bestFit="1" customWidth="1"/>
    <col min="7" max="7" width="14.7109375" style="213" bestFit="1" customWidth="1"/>
    <col min="8" max="8" width="10.5703125" style="213" customWidth="1"/>
    <col min="9" max="9" width="0.42578125" style="205" hidden="1" customWidth="1"/>
    <col min="10" max="10" width="7.28515625" style="205" hidden="1" customWidth="1"/>
    <col min="11" max="11" width="15.85546875" style="209" bestFit="1" customWidth="1"/>
    <col min="12" max="12" width="21.85546875" style="205" hidden="1" customWidth="1"/>
    <col min="13" max="13" width="24" style="205" bestFit="1" customWidth="1"/>
    <col min="14" max="16384" width="11.42578125" style="205"/>
  </cols>
  <sheetData>
    <row r="1" spans="1:14" x14ac:dyDescent="0.2">
      <c r="A1" s="26" t="s">
        <v>121</v>
      </c>
      <c r="B1" s="199" t="s">
        <v>0</v>
      </c>
      <c r="C1" s="200" t="s">
        <v>16</v>
      </c>
      <c r="D1" s="205" t="s">
        <v>116</v>
      </c>
      <c r="E1" s="199" t="s">
        <v>110</v>
      </c>
      <c r="F1" s="200" t="s">
        <v>111</v>
      </c>
      <c r="G1" s="212" t="s">
        <v>112</v>
      </c>
      <c r="H1" s="212" t="s">
        <v>113</v>
      </c>
      <c r="I1" s="200" t="s">
        <v>114</v>
      </c>
      <c r="J1" s="200" t="s">
        <v>115</v>
      </c>
      <c r="K1" s="201" t="s">
        <v>129</v>
      </c>
      <c r="L1" s="210" t="s">
        <v>122</v>
      </c>
      <c r="M1" s="210" t="s">
        <v>125</v>
      </c>
    </row>
    <row r="2" spans="1:14" x14ac:dyDescent="0.2">
      <c r="A2" s="221"/>
      <c r="B2" s="219"/>
      <c r="C2" s="222"/>
      <c r="D2" s="220"/>
      <c r="E2" s="219"/>
      <c r="F2" s="222"/>
      <c r="G2" s="223"/>
      <c r="H2" s="223"/>
      <c r="I2" s="224"/>
      <c r="J2" s="225"/>
      <c r="K2" s="226"/>
      <c r="L2" s="226"/>
      <c r="M2" s="225"/>
      <c r="N2" s="229"/>
    </row>
    <row r="3" spans="1:14" x14ac:dyDescent="0.2">
      <c r="A3" s="221"/>
      <c r="B3" s="219"/>
      <c r="C3" s="222"/>
      <c r="D3" s="220"/>
      <c r="E3" s="233"/>
      <c r="F3" s="234"/>
      <c r="G3" s="235"/>
      <c r="H3" s="235"/>
      <c r="I3" s="236"/>
      <c r="J3" s="220"/>
      <c r="K3" s="226"/>
      <c r="L3" s="317"/>
      <c r="M3" s="220"/>
    </row>
    <row r="4" spans="1:14" x14ac:dyDescent="0.2">
      <c r="A4" s="221"/>
      <c r="B4" s="219"/>
      <c r="C4" s="222"/>
      <c r="D4" s="220"/>
      <c r="E4" s="233"/>
      <c r="F4" s="234"/>
      <c r="G4" s="235"/>
      <c r="H4" s="235"/>
      <c r="I4" s="236"/>
      <c r="J4" s="220"/>
      <c r="K4" s="226"/>
      <c r="L4" s="317"/>
      <c r="M4" s="220"/>
    </row>
  </sheetData>
  <sheetProtection formatCells="0" formatColumns="0" formatRows="0" insertRows="0" deleteRows="0" autoFilter="0"/>
  <pageMargins left="0.78740157499999996" right="0.78740157499999996" top="0.984251969" bottom="0.984251969" header="0.49212598499999999" footer="0.49212598499999999"/>
  <pageSetup paperSize="9" scale="43" orientation="portrait" r:id="rId1"/>
  <headerFooter alignWithMargins="0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6FDA0E1-7C28-4BDA-BCF6-00CFFCB2DE98}">
          <x14:formula1>
            <xm:f>configStatus!$A$1:$A$5</xm:f>
          </x14:formula1>
          <xm:sqref>L2:L4 K2:K1048576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9B411-8F3C-4D19-A225-AC6CD0874857}">
  <sheetPr codeName="Planilha5"/>
  <dimension ref="A1:F3"/>
  <sheetViews>
    <sheetView zoomScale="220" zoomScaleNormal="220" workbookViewId="0">
      <pane ySplit="1" topLeftCell="A2" activePane="bottomLeft" state="frozen"/>
      <selection pane="bottomLeft" activeCell="E7" sqref="E7"/>
    </sheetView>
  </sheetViews>
  <sheetFormatPr defaultRowHeight="12.75" x14ac:dyDescent="0.2"/>
  <cols>
    <col min="1" max="1" width="13.85546875" customWidth="1"/>
    <col min="2" max="2" width="11.85546875" customWidth="1"/>
    <col min="5" max="5" width="15.42578125" customWidth="1"/>
    <col min="6" max="6" width="12.7109375" customWidth="1"/>
  </cols>
  <sheetData>
    <row r="1" spans="1:6" x14ac:dyDescent="0.2">
      <c r="A1" s="116" t="s">
        <v>133</v>
      </c>
      <c r="B1" s="99" t="s">
        <v>121</v>
      </c>
      <c r="C1" s="99" t="s">
        <v>134</v>
      </c>
      <c r="D1" s="99" t="s">
        <v>135</v>
      </c>
      <c r="E1" s="99" t="s">
        <v>131</v>
      </c>
      <c r="F1" s="232" t="s">
        <v>132</v>
      </c>
    </row>
    <row r="2" spans="1:6" x14ac:dyDescent="0.2">
      <c r="A2" s="219"/>
      <c r="B2" s="221"/>
      <c r="D2" s="237"/>
      <c r="E2" s="238"/>
      <c r="F2" s="223"/>
    </row>
    <row r="3" spans="1:6" x14ac:dyDescent="0.2">
      <c r="F3" s="202" t="s">
        <v>136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8ECB3-C4D4-4ECF-B1E3-0BB1CDF29050}">
  <sheetPr codeName="Planilha4"/>
  <dimension ref="A1:C5"/>
  <sheetViews>
    <sheetView workbookViewId="0">
      <selection activeCell="E12" sqref="E12"/>
    </sheetView>
  </sheetViews>
  <sheetFormatPr defaultRowHeight="12.75" x14ac:dyDescent="0.2"/>
  <sheetData>
    <row r="1" spans="1:3" x14ac:dyDescent="0.2">
      <c r="A1" s="202" t="s">
        <v>117</v>
      </c>
    </row>
    <row r="2" spans="1:3" x14ac:dyDescent="0.2">
      <c r="A2" s="202" t="s">
        <v>118</v>
      </c>
    </row>
    <row r="3" spans="1:3" x14ac:dyDescent="0.2">
      <c r="A3" s="202" t="s">
        <v>123</v>
      </c>
    </row>
    <row r="4" spans="1:3" x14ac:dyDescent="0.2">
      <c r="A4" s="202" t="s">
        <v>120</v>
      </c>
      <c r="C4" s="211"/>
    </row>
    <row r="5" spans="1:3" x14ac:dyDescent="0.2">
      <c r="A5" t="s">
        <v>130</v>
      </c>
    </row>
  </sheetData>
  <dataValidations count="1">
    <dataValidation type="list" allowBlank="1" showInputMessage="1" showErrorMessage="1" sqref="A1:A4" xr:uid="{B4331DD1-BC45-4A92-BAB9-C800AAB46CEC}">
      <formula1>$A$1:$A$4</formula1>
    </dataValidation>
  </dataValidation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3"/>
  <dimension ref="A1"/>
  <sheetViews>
    <sheetView workbookViewId="0"/>
  </sheetViews>
  <sheetFormatPr defaultColWidth="8.7109375" defaultRowHeight="12.75" x14ac:dyDescent="0.2"/>
  <cols>
    <col min="2" max="2" width="11.42578125" bestFit="1" customWidth="1"/>
    <col min="3" max="3" width="15.42578125" bestFit="1" customWidth="1"/>
    <col min="4" max="5" width="11.42578125" bestFit="1" customWidth="1"/>
    <col min="6" max="6" width="92.85546875" bestFit="1" customWidth="1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3</vt:i4>
      </vt:variant>
    </vt:vector>
  </HeadingPairs>
  <TitlesOfParts>
    <vt:vector size="11" baseType="lpstr">
      <vt:lpstr>Legendas de Agendamento</vt:lpstr>
      <vt:lpstr>Plano Diretor</vt:lpstr>
      <vt:lpstr>Agenda de Consultoria</vt:lpstr>
      <vt:lpstr>Relatório de Consultoria</vt:lpstr>
      <vt:lpstr>Agendamento</vt:lpstr>
      <vt:lpstr>Remarcados</vt:lpstr>
      <vt:lpstr>configStatus</vt:lpstr>
      <vt:lpstr>Resumo</vt:lpstr>
      <vt:lpstr>Agendamento!Area_de_impressao</vt:lpstr>
      <vt:lpstr>'Plano Diretor'!Area_de_impressao</vt:lpstr>
      <vt:lpstr>'Relatório de Consultoria'!Area_de_impressao</vt:lpstr>
    </vt:vector>
  </TitlesOfParts>
  <Company>RAV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Planejamento dos Projetos</dc:title>
  <dc:subject>versão 2012 08 10</dc:subject>
  <dc:creator>Setec Consulting Group</dc:creator>
  <cp:lastModifiedBy>USER</cp:lastModifiedBy>
  <dcterms:created xsi:type="dcterms:W3CDTF">2006-01-12T22:39:30Z</dcterms:created>
  <dcterms:modified xsi:type="dcterms:W3CDTF">2022-11-09T18:44:18Z</dcterms:modified>
</cp:coreProperties>
</file>